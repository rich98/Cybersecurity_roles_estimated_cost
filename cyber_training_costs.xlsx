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ertification Costs" sheetId="2" state="visible" r:id="rId4"/>
    <sheet name="Role–Cert Detail" sheetId="3" state="visible" r:id="rId5"/>
    <sheet name="Summary by Ro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<sst xmlns="http://schemas.openxmlformats.org/spreadsheetml/2006/main" count="479" uniqueCount="186">
  <si>
    <t xml:space="preserve">Cybersecurity Roles — Estimated Cost of Training</t>
  </si>
  <si>
    <t xml:space="preserve">Source data: 'Cybersecurity Roles and Recommended Certification' (Excellog.Biz). Prepared June 2026.</t>
  </si>
  <si>
    <t xml:space="preserve">What this workbook does</t>
  </si>
  <si>
    <t xml:space="preserve">For every role in the graphic, it sums the cost of ALL the certifications listed next to that role, under two scenarios:</t>
  </si>
  <si>
    <t xml:space="preserve">   • Exam-only — the minimum to get certified if you self-study (exam/voucher fees + required application fees).</t>
  </si>
  <si>
    <t xml:space="preserve">   • Training-inclusive — exam plus a typical official or instructor-led training course / bootcamp.</t>
  </si>
  <si>
    <t xml:space="preserve">It also shows a 'Most-recognised single credential' per role: a realistic figure if you pursue just one headline cert.</t>
  </si>
  <si>
    <t xml:space="preserve">IMPORTANT — read before using the numbers</t>
  </si>
  <si>
    <t xml:space="preserve">1. The certs beside each role are OPTIONS / alternatives, not a required set. Almost nobody earns all of them. The</t>
  </si>
  <si>
    <t xml:space="preserve">    'all listed certs' totals are therefore an UPPER BOUND, useful for budgeting a full credential stack — not a typical spend.</t>
  </si>
  <si>
    <t xml:space="preserve">    For a realistic single-path budget, use the 'Most-recognised single credential' columns on the Summary tab.</t>
  </si>
  <si>
    <t xml:space="preserve">2. GIAC/SANS certs dominate any total: ~$999 for the exam alone, but ~$9,000 once SANS training is included. Roles with</t>
  </si>
  <si>
    <t xml:space="preserve">    several GIAC certs (e.g. SIEM Engineer) show very large training-inclusive totals for that reason.</t>
  </si>
  <si>
    <t xml:space="preserve">3. Prices are USD, mid-2026, list price, before local tax. They change often — treat as planning estimates, not quotes.</t>
  </si>
  <si>
    <t xml:space="preserve">4. Excludes: annual maintenance fees (e.g. CISSP $135/yr, IAPP membership ~$275/yr), retakes, travel, and exam taxes.</t>
  </si>
  <si>
    <t xml:space="preserve">5. Confidence column on 'Certification Costs' flags which figures are web-verified vs. estimated. Some acronyms in the</t>
  </si>
  <si>
    <t xml:space="preserve">    graphic are non-standard or ambiguous (e.g. CGSIT, CompBoCVII+, CDPPE) and are rough estimates only.</t>
  </si>
  <si>
    <t xml:space="preserve">6. ISACA (CISM/CISA/CRISC) and IAPP (CIPP/CIPM/CIPT) give multi-cert discounts; SANS work-study &amp; employer funding can</t>
  </si>
  <si>
    <t xml:space="preserve">    cut costs sharply. Numbers here assume no discount.</t>
  </si>
  <si>
    <t xml:space="preserve">How to adjust</t>
  </si>
  <si>
    <t xml:space="preserve">Edit any price on the 'Certification Costs' tab (blue cells). Every role total on 'Summary by Role' recalculates</t>
  </si>
  <si>
    <t xml:space="preserve">automatically. To change which certs belong to a role, edit the 'Role–Cert Detail' tab.</t>
  </si>
  <si>
    <t xml:space="preserve">Certification</t>
  </si>
  <si>
    <t xml:space="preserve">Issuing body</t>
  </si>
  <si>
    <t xml:space="preserve">Exam-only ($)</t>
  </si>
  <si>
    <t xml:space="preserve">Training-incl. ($)</t>
  </si>
  <si>
    <t xml:space="preserve">Confidence</t>
  </si>
  <si>
    <t xml:space="preserve">Basis / source</t>
  </si>
  <si>
    <t xml:space="preserve">CISSP</t>
  </si>
  <si>
    <t xml:space="preserve">ISC2</t>
  </si>
  <si>
    <t xml:space="preserve">High</t>
  </si>
  <si>
    <t xml:space="preserve">ISC2 exam $749 + $135/yr AMF; training $300-7,000 (web, 2026)</t>
  </si>
  <si>
    <t xml:space="preserve">CISM</t>
  </si>
  <si>
    <t xml:space="preserve">ISACA</t>
  </si>
  <si>
    <t xml:space="preserve">ISACA non-member exam $760 + $50 app; official review ~$895 (web, 2026)</t>
  </si>
  <si>
    <t xml:space="preserve">CISA</t>
  </si>
  <si>
    <t xml:space="preserve">ISACA non-member exam $760 + $50 app (web, 2026)</t>
  </si>
  <si>
    <t xml:space="preserve">CRISC</t>
  </si>
  <si>
    <t xml:space="preserve">CompTIA Security+</t>
  </si>
  <si>
    <t xml:space="preserve">CompTIA</t>
  </si>
  <si>
    <t xml:space="preserve">Voucher $425; self-study total $600-1,000 (web, 2026)</t>
  </si>
  <si>
    <t xml:space="preserve">CompTIA PenTest+</t>
  </si>
  <si>
    <t xml:space="preserve">Voucher $425 (web, 2026)</t>
  </si>
  <si>
    <t xml:space="preserve">CompTIA CySA+</t>
  </si>
  <si>
    <t xml:space="preserve">CompTIA CASP+ (SecurityX)</t>
  </si>
  <si>
    <t xml:space="preserve">SecurityX/CASP+ voucher $529 (web, 2026)</t>
  </si>
  <si>
    <t xml:space="preserve">CompTIA Secure Software Developer</t>
  </si>
  <si>
    <t xml:space="preserve">ISC2 (CSSLP-equiv.)</t>
  </si>
  <si>
    <t xml:space="preserve">Low</t>
  </si>
  <si>
    <t xml:space="preserve">Ambiguous label; priced as ISC2 CSSLP ~$599 exam (estimate)</t>
  </si>
  <si>
    <t xml:space="preserve">CEH</t>
  </si>
  <si>
    <t xml:space="preserve">EC-Council</t>
  </si>
  <si>
    <t xml:space="preserve">Pearson VUE voucher $1,199 (+$100 app self-study); training $1,900-3,500 (web, 2026)</t>
  </si>
  <si>
    <t xml:space="preserve">ECSS</t>
  </si>
  <si>
    <t xml:space="preserve">Essentials-tier; estimate</t>
  </si>
  <si>
    <t xml:space="preserve">CTIA</t>
  </si>
  <si>
    <t xml:space="preserve">Medium</t>
  </si>
  <si>
    <t xml:space="preserve">EC-Council specialist exam; training bundle (estimate, 2026)</t>
  </si>
  <si>
    <t xml:space="preserve">ECIH</t>
  </si>
  <si>
    <t xml:space="preserve">Exam $450 (web, 2026); training bundle estimate</t>
  </si>
  <si>
    <t xml:space="preserve">GSEC (GIAC)</t>
  </si>
  <si>
    <t xml:space="preserve">GIAC / SANS</t>
  </si>
  <si>
    <t xml:space="preserve">GIAC attempt $999; SANS course ~$8,780 (web, 2026)</t>
  </si>
  <si>
    <t xml:space="preserve">SANS GIAC (generic)</t>
  </si>
  <si>
    <t xml:space="preserve">Generic GIAC; attempt $999 + SANS course ~$8,780 (web, 2026)</t>
  </si>
  <si>
    <t xml:space="preserve">GCSA (GIAC)</t>
  </si>
  <si>
    <t xml:space="preserve">GIAC attempt $999 + SANS course ~$8,780 (web, 2026)</t>
  </si>
  <si>
    <t xml:space="preserve">GSOM (GIAC)</t>
  </si>
  <si>
    <t xml:space="preserve">GDSA (GIAC)</t>
  </si>
  <si>
    <t xml:space="preserve">GCIA (GIAC)</t>
  </si>
  <si>
    <t xml:space="preserve">GCTI (GIAC)</t>
  </si>
  <si>
    <t xml:space="preserve">GCFA (GIAC)</t>
  </si>
  <si>
    <t xml:space="preserve">GCIH (GIAC)</t>
  </si>
  <si>
    <t xml:space="preserve">OSCP</t>
  </si>
  <si>
    <t xml:space="preserve">OffSec</t>
  </si>
  <si>
    <t xml:space="preserve">Standalone exam $1,699; PEN-200 bundle $1,749 (web, 2026)</t>
  </si>
  <si>
    <t xml:space="preserve">Cisco CCNA</t>
  </si>
  <si>
    <t xml:space="preserve">Cisco</t>
  </si>
  <si>
    <t xml:space="preserve">Exam 200-301 $300; prep total $450-3,000 (web, 2026)</t>
  </si>
  <si>
    <t xml:space="preserve">CKA</t>
  </si>
  <si>
    <t xml:space="preserve">Linux Foundation / CNCF</t>
  </si>
  <si>
    <t xml:space="preserve">Exam $445; +LFS258 course $645 (web, 2026)</t>
  </si>
  <si>
    <t xml:space="preserve">DCA (Docker)</t>
  </si>
  <si>
    <t xml:space="preserve">Docker / Mirantis</t>
  </si>
  <si>
    <t xml:space="preserve">Docker Certified Associate ~$195 exam (estimate)</t>
  </si>
  <si>
    <t xml:space="preserve">SSCP</t>
  </si>
  <si>
    <t xml:space="preserve">ISC2 SSCP exam ~$249 + $135/yr AMF (estimate)</t>
  </si>
  <si>
    <t xml:space="preserve">CDE (DevSecOps)</t>
  </si>
  <si>
    <t xml:space="preserve">Practical DevSecOps</t>
  </si>
  <si>
    <t xml:space="preserve">Certified DevSecOps Expert; course+exam bundle (estimate)</t>
  </si>
  <si>
    <t xml:space="preserve">CDP (DevSecOps)</t>
  </si>
  <si>
    <t xml:space="preserve">Certified DevSecOps Professional (estimate)</t>
  </si>
  <si>
    <t xml:space="preserve">CwPT</t>
  </si>
  <si>
    <t xml:space="preserve">Various</t>
  </si>
  <si>
    <t xml:space="preserve">Certified Web Pen Tester; provider varies (estimate)</t>
  </si>
  <si>
    <t xml:space="preserve">CSOC</t>
  </si>
  <si>
    <t xml:space="preserve">Various (EC-Council CSA-tier)</t>
  </si>
  <si>
    <t xml:space="preserve">Certified SOC analyst-tier (estimate)</t>
  </si>
  <si>
    <t xml:space="preserve">CSOM</t>
  </si>
  <si>
    <t xml:space="preserve">Certified SOC manager-tier (estimate)</t>
  </si>
  <si>
    <t xml:space="preserve">CRMP</t>
  </si>
  <si>
    <t xml:space="preserve">RIMS</t>
  </si>
  <si>
    <t xml:space="preserve">RIMS-CRMP exam ~$450-595 (estimate)</t>
  </si>
  <si>
    <t xml:space="preserve">CCE</t>
  </si>
  <si>
    <t xml:space="preserve">ISFCE</t>
  </si>
  <si>
    <t xml:space="preserve">Certified Computer Examiner ~$485 (estimate)</t>
  </si>
  <si>
    <t xml:space="preserve">EnCE</t>
  </si>
  <si>
    <t xml:space="preserve">OpenText</t>
  </si>
  <si>
    <t xml:space="preserve">EnCE app/exam low; EnCase training costly (estimate)</t>
  </si>
  <si>
    <t xml:space="preserve">CERT (SEI)</t>
  </si>
  <si>
    <t xml:space="preserve">SEI / Carnegie Mellon</t>
  </si>
  <si>
    <t xml:space="preserve">CERT incident-handling cert (estimate)</t>
  </si>
  <si>
    <t xml:space="preserve">CSiH (SEI)</t>
  </si>
  <si>
    <t xml:space="preserve">CERT-CSIH (estimate)</t>
  </si>
  <si>
    <t xml:space="preserve">CGSIT</t>
  </si>
  <si>
    <t xml:space="preserve">Unclear</t>
  </si>
  <si>
    <t xml:space="preserve">Very low</t>
  </si>
  <si>
    <t xml:space="preserve">Label not clearly identifiable (rough estimate)</t>
  </si>
  <si>
    <t xml:space="preserve">CompBoCVII+</t>
  </si>
  <si>
    <t xml:space="preserve">CIPP</t>
  </si>
  <si>
    <t xml:space="preserve">IAPP</t>
  </si>
  <si>
    <t xml:space="preserve">IAPP first-cert exam $550 (later certs $375); +course ~$500-700 (web, 2026)</t>
  </si>
  <si>
    <t xml:space="preserve">CIPM</t>
  </si>
  <si>
    <t xml:space="preserve">IAPP exam $550; +course ~$500-700 (web, 2026)</t>
  </si>
  <si>
    <t xml:space="preserve">CIPT</t>
  </si>
  <si>
    <t xml:space="preserve">CDPO</t>
  </si>
  <si>
    <t xml:space="preserve">PECB / EXIN</t>
  </si>
  <si>
    <t xml:space="preserve">Certified Data Protection Officer; provider varies (estimate)</t>
  </si>
  <si>
    <t xml:space="preserve">CDPPE</t>
  </si>
  <si>
    <t xml:space="preserve">Data privacy/protection cert; label unclear (estimate)</t>
  </si>
  <si>
    <t xml:space="preserve">Blue cells are editable inputs — change a price and every role total updates.</t>
  </si>
  <si>
    <t xml:space="preserve">Role</t>
  </si>
  <si>
    <t xml:space="preserve">Chief Information Security Officer</t>
  </si>
  <si>
    <t xml:space="preserve">Information Security Manager</t>
  </si>
  <si>
    <t xml:space="preserve">Cybersecurity Architect</t>
  </si>
  <si>
    <t xml:space="preserve">Risk / Compliance Manager</t>
  </si>
  <si>
    <t xml:space="preserve">Cyber Policy Planner</t>
  </si>
  <si>
    <t xml:space="preserve">Security Awareness Trainer</t>
  </si>
  <si>
    <t xml:space="preserve">DevSecOps Engineer</t>
  </si>
  <si>
    <t xml:space="preserve">Cyber Security Consultant</t>
  </si>
  <si>
    <t xml:space="preserve">Information Security Analyst</t>
  </si>
  <si>
    <t xml:space="preserve">Penetration Tester</t>
  </si>
  <si>
    <t xml:space="preserve">SOC Manager</t>
  </si>
  <si>
    <t xml:space="preserve">SIEM Engineer</t>
  </si>
  <si>
    <t xml:space="preserve">Cyber Threat Intelligence Analyst</t>
  </si>
  <si>
    <t xml:space="preserve">Cybersecurity Engineer</t>
  </si>
  <si>
    <t xml:space="preserve">Network Security Engineer</t>
  </si>
  <si>
    <t xml:space="preserve">Systems Security Administrator</t>
  </si>
  <si>
    <t xml:space="preserve">Forensic Computer Analyst</t>
  </si>
  <si>
    <t xml:space="preserve">Security Software Developer</t>
  </si>
  <si>
    <t xml:space="preserve">Incident Responder</t>
  </si>
  <si>
    <t xml:space="preserve">Vulnerability Assessor</t>
  </si>
  <si>
    <t xml:space="preserve">Cryptographer</t>
  </si>
  <si>
    <t xml:space="preserve">Data Privacy Officer (DPO)</t>
  </si>
  <si>
    <t xml:space="preserve">Data Privacy Manager</t>
  </si>
  <si>
    <t xml:space="preserve">Privacy Analyst</t>
  </si>
  <si>
    <t xml:space="preserve">Certs listed in graphic</t>
  </si>
  <si>
    <t xml:space="preserve"># certs</t>
  </si>
  <si>
    <t xml:space="preserve">ALL listed certs:
Exam-only ($)</t>
  </si>
  <si>
    <t xml:space="preserve">ALL listed certs:
Training-incl. ($)</t>
  </si>
  <si>
    <t xml:space="preserve">Most-recognised
single credential</t>
  </si>
  <si>
    <t xml:space="preserve">Single cert:
Exam-only ($)</t>
  </si>
  <si>
    <t xml:space="preserve">Single cert:
Training-incl. ($)</t>
  </si>
  <si>
    <t xml:space="preserve">CISSP, CISM, GSEC (GIAC)</t>
  </si>
  <si>
    <t xml:space="preserve">CISSP, CISM, CompTIA Security+</t>
  </si>
  <si>
    <t xml:space="preserve">CISSP, CEH, SANS GIAC (generic), CISM</t>
  </si>
  <si>
    <t xml:space="preserve">CISSP, CRISC, CISA, GSEC (GIAC), CRMP</t>
  </si>
  <si>
    <t xml:space="preserve">CISSP, CISM, CompTIA CASP+ (SecurityX), GSEC (GIAC), SSCP</t>
  </si>
  <si>
    <t xml:space="preserve">ECSS, CompTIA Security+</t>
  </si>
  <si>
    <t xml:space="preserve">GCSA (GIAC), CDE (DevSecOps), CDP (DevSecOps), CKA, DCA (Docker)</t>
  </si>
  <si>
    <t xml:space="preserve">CompTIA Security+, CISSP, CISM, CEH</t>
  </si>
  <si>
    <t xml:space="preserve">CompTIA Security+, CEH, CISSP</t>
  </si>
  <si>
    <t xml:space="preserve">OSCP, CEH, CompTIA PenTest+, CwPT</t>
  </si>
  <si>
    <t xml:space="preserve">CISSP, CISM, CSOC, GSOM (GIAC)</t>
  </si>
  <si>
    <t xml:space="preserve">CISSP, CISM, CompTIA CySA+, CompTIA CASP+ (SecurityX), CSOM, GDSA (GIAC), GCIA (GIAC)</t>
  </si>
  <si>
    <t xml:space="preserve">CISSP, CISM, GSEC (GIAC), GCTI (GIAC), CTIA</t>
  </si>
  <si>
    <t xml:space="preserve">CISSP, CompTIA Security+, CEH, GSEC (GIAC)</t>
  </si>
  <si>
    <t xml:space="preserve">CompTIA Security+, Cisco CCNA</t>
  </si>
  <si>
    <t xml:space="preserve">CompTIA Security+, SSCP, CISSP</t>
  </si>
  <si>
    <t xml:space="preserve">GCFA (GIAC), CCE, EnCE</t>
  </si>
  <si>
    <t xml:space="preserve">GCIH (GIAC), CERT (SEI), CSiH (SEI), ECIH</t>
  </si>
  <si>
    <t xml:space="preserve">CEH, CRISC, CGSIT, CompBoCVII+</t>
  </si>
  <si>
    <t xml:space="preserve">CIPP, CIPM, CDPO, CIPT</t>
  </si>
  <si>
    <t xml:space="preserve">CIPP, CIPM, CDPO, CIPT, CDPPE</t>
  </si>
  <si>
    <t xml:space="preserve">Average across roles</t>
  </si>
  <si>
    <t xml:space="preserve">Green = pulled from other tabs.  'ALL listed certs' = upper bound (every option). 'Single credential' = realistic one-cert path.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</si>
</sst>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6.15" hidden="false" customHeight="false" outlineLevel="0" collapsed="false">
      <c r="B4" s="3" t="s">
        <v>2</v>
      </c>
    </row>
    <row r="5" customFormat="false" ht="26.8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10" customFormat="false" ht="16.15" hidden="false" customHeight="false" outlineLevel="0" collapsed="false">
      <c r="B10" s="5" t="s">
        <v>7</v>
      </c>
    </row>
    <row r="11" customFormat="false" ht="26.85" hidden="false" customHeight="false" outlineLevel="0" collapsed="false">
      <c r="B11" s="4" t="s">
        <v>8</v>
      </c>
    </row>
    <row r="12" customFormat="false" ht="26.8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26.8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6" customFormat="false" ht="26.85" hidden="false" customHeight="false" outlineLevel="0" collapsed="false">
      <c r="B16" s="4" t="s">
        <v>13</v>
      </c>
    </row>
    <row r="17" customFormat="false" ht="26.85" hidden="false" customHeight="false" outlineLevel="0" collapsed="false">
      <c r="B17" s="4" t="s">
        <v>14</v>
      </c>
    </row>
    <row r="18" customFormat="false" ht="26.85" hidden="false" customHeight="false" outlineLevel="0" collapsed="false">
      <c r="B18" s="4" t="s">
        <v>15</v>
      </c>
    </row>
    <row r="19" customFormat="false" ht="15" hidden="false" customHeight="false" outlineLevel="0" collapsed="false">
      <c r="B19" s="4" t="s">
        <v>16</v>
      </c>
    </row>
    <row r="20" customFormat="false" ht="26.85" hidden="false" customHeight="false" outlineLevel="0" collapsed="false">
      <c r="B20" s="4" t="s">
        <v>17</v>
      </c>
    </row>
    <row r="21" customFormat="false" ht="15" hidden="false" customHeight="false" outlineLevel="0" collapsed="false">
      <c r="B21" s="4" t="s">
        <v>18</v>
      </c>
    </row>
    <row r="23" customFormat="false" ht="16.15" hidden="false" customHeight="false" outlineLevel="0" collapsed="false">
      <c r="B23" s="3" t="s">
        <v>19</v>
      </c>
    </row>
    <row r="24" customFormat="false" ht="15" hidden="false" customHeight="false" outlineLevel="0" collapsed="false">
      <c r="B24" s="4" t="s">
        <v>20</v>
      </c>
    </row>
    <row r="25" customFormat="false" ht="15" hidden="false" customHeight="false" outlineLevel="0" collapsed="false">
      <c r="B25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70"/>
  </cols>
  <sheetData>
    <row r="1" customFormat="false" ht="26.85" hidden="false" customHeight="false" outlineLevel="0" collapsed="false">
      <c r="A1" s="6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</row>
    <row r="2" customFormat="false" ht="15" hidden="false" customHeight="false" outlineLevel="0" collapsed="false">
      <c r="A2" s="8" t="s">
        <v>28</v>
      </c>
      <c r="B2" s="9" t="s">
        <v>29</v>
      </c>
      <c r="C2" s="10" t="n">
        <v>749</v>
      </c>
      <c r="D2" s="10" t="n">
        <v>2500</v>
      </c>
      <c r="E2" s="11" t="s">
        <v>30</v>
      </c>
      <c r="F2" s="12" t="s">
        <v>31</v>
      </c>
    </row>
    <row r="3" customFormat="false" ht="15" hidden="false" customHeight="false" outlineLevel="0" collapsed="false">
      <c r="A3" s="8" t="s">
        <v>32</v>
      </c>
      <c r="B3" s="9" t="s">
        <v>33</v>
      </c>
      <c r="C3" s="10" t="n">
        <v>760</v>
      </c>
      <c r="D3" s="10" t="n">
        <v>1800</v>
      </c>
      <c r="E3" s="11" t="s">
        <v>30</v>
      </c>
      <c r="F3" s="12" t="s">
        <v>34</v>
      </c>
    </row>
    <row r="4" customFormat="false" ht="15" hidden="false" customHeight="false" outlineLevel="0" collapsed="false">
      <c r="A4" s="8" t="s">
        <v>35</v>
      </c>
      <c r="B4" s="9" t="s">
        <v>33</v>
      </c>
      <c r="C4" s="10" t="n">
        <v>760</v>
      </c>
      <c r="D4" s="10" t="n">
        <v>1700</v>
      </c>
      <c r="E4" s="11" t="s">
        <v>30</v>
      </c>
      <c r="F4" s="12" t="s">
        <v>36</v>
      </c>
    </row>
    <row r="5" customFormat="false" ht="15" hidden="false" customHeight="false" outlineLevel="0" collapsed="false">
      <c r="A5" s="8" t="s">
        <v>37</v>
      </c>
      <c r="B5" s="9" t="s">
        <v>33</v>
      </c>
      <c r="C5" s="10" t="n">
        <v>760</v>
      </c>
      <c r="D5" s="10" t="n">
        <v>1600</v>
      </c>
      <c r="E5" s="11" t="s">
        <v>30</v>
      </c>
      <c r="F5" s="12" t="s">
        <v>36</v>
      </c>
    </row>
    <row r="6" customFormat="false" ht="15" hidden="false" customHeight="false" outlineLevel="0" collapsed="false">
      <c r="A6" s="8" t="s">
        <v>38</v>
      </c>
      <c r="B6" s="9" t="s">
        <v>39</v>
      </c>
      <c r="C6" s="10" t="n">
        <v>425</v>
      </c>
      <c r="D6" s="10" t="n">
        <v>900</v>
      </c>
      <c r="E6" s="11" t="s">
        <v>30</v>
      </c>
      <c r="F6" s="12" t="s">
        <v>40</v>
      </c>
    </row>
    <row r="7" customFormat="false" ht="15" hidden="false" customHeight="false" outlineLevel="0" collapsed="false">
      <c r="A7" s="8" t="s">
        <v>41</v>
      </c>
      <c r="B7" s="9" t="s">
        <v>39</v>
      </c>
      <c r="C7" s="10" t="n">
        <v>425</v>
      </c>
      <c r="D7" s="10" t="n">
        <v>900</v>
      </c>
      <c r="E7" s="11" t="s">
        <v>30</v>
      </c>
      <c r="F7" s="12" t="s">
        <v>42</v>
      </c>
    </row>
    <row r="8" customFormat="false" ht="15" hidden="false" customHeight="false" outlineLevel="0" collapsed="false">
      <c r="A8" s="8" t="s">
        <v>43</v>
      </c>
      <c r="B8" s="9" t="s">
        <v>39</v>
      </c>
      <c r="C8" s="10" t="n">
        <v>425</v>
      </c>
      <c r="D8" s="10" t="n">
        <v>900</v>
      </c>
      <c r="E8" s="11" t="s">
        <v>30</v>
      </c>
      <c r="F8" s="12" t="s">
        <v>42</v>
      </c>
    </row>
    <row r="9" customFormat="false" ht="15" hidden="false" customHeight="false" outlineLevel="0" collapsed="false">
      <c r="A9" s="8" t="s">
        <v>44</v>
      </c>
      <c r="B9" s="9" t="s">
        <v>39</v>
      </c>
      <c r="C9" s="10" t="n">
        <v>529</v>
      </c>
      <c r="D9" s="10" t="n">
        <v>1200</v>
      </c>
      <c r="E9" s="11" t="s">
        <v>30</v>
      </c>
      <c r="F9" s="12" t="s">
        <v>45</v>
      </c>
    </row>
    <row r="10" customFormat="false" ht="15" hidden="false" customHeight="false" outlineLevel="0" collapsed="false">
      <c r="A10" s="8" t="s">
        <v>46</v>
      </c>
      <c r="B10" s="9" t="s">
        <v>47</v>
      </c>
      <c r="C10" s="10" t="n">
        <v>599</v>
      </c>
      <c r="D10" s="10" t="n">
        <v>2000</v>
      </c>
      <c r="E10" s="11" t="s">
        <v>48</v>
      </c>
      <c r="F10" s="12" t="s">
        <v>49</v>
      </c>
    </row>
    <row r="11" customFormat="false" ht="15" hidden="false" customHeight="false" outlineLevel="0" collapsed="false">
      <c r="A11" s="8" t="s">
        <v>50</v>
      </c>
      <c r="B11" s="9" t="s">
        <v>51</v>
      </c>
      <c r="C11" s="10" t="n">
        <v>1199</v>
      </c>
      <c r="D11" s="10" t="n">
        <v>3000</v>
      </c>
      <c r="E11" s="11" t="s">
        <v>30</v>
      </c>
      <c r="F11" s="12" t="s">
        <v>52</v>
      </c>
    </row>
    <row r="12" customFormat="false" ht="15" hidden="false" customHeight="false" outlineLevel="0" collapsed="false">
      <c r="A12" s="8" t="s">
        <v>53</v>
      </c>
      <c r="B12" s="9" t="s">
        <v>51</v>
      </c>
      <c r="C12" s="10" t="n">
        <v>250</v>
      </c>
      <c r="D12" s="10" t="n">
        <v>800</v>
      </c>
      <c r="E12" s="11" t="s">
        <v>48</v>
      </c>
      <c r="F12" s="12" t="s">
        <v>54</v>
      </c>
    </row>
    <row r="13" customFormat="false" ht="15" hidden="false" customHeight="false" outlineLevel="0" collapsed="false">
      <c r="A13" s="8" t="s">
        <v>55</v>
      </c>
      <c r="B13" s="9" t="s">
        <v>51</v>
      </c>
      <c r="C13" s="10" t="n">
        <v>450</v>
      </c>
      <c r="D13" s="10" t="n">
        <v>2000</v>
      </c>
      <c r="E13" s="11" t="s">
        <v>56</v>
      </c>
      <c r="F13" s="12" t="s">
        <v>57</v>
      </c>
    </row>
    <row r="14" customFormat="false" ht="15" hidden="false" customHeight="false" outlineLevel="0" collapsed="false">
      <c r="A14" s="8" t="s">
        <v>58</v>
      </c>
      <c r="B14" s="9" t="s">
        <v>51</v>
      </c>
      <c r="C14" s="10" t="n">
        <v>450</v>
      </c>
      <c r="D14" s="10" t="n">
        <v>2000</v>
      </c>
      <c r="E14" s="11" t="s">
        <v>56</v>
      </c>
      <c r="F14" s="12" t="s">
        <v>59</v>
      </c>
    </row>
    <row r="15" customFormat="false" ht="15" hidden="false" customHeight="false" outlineLevel="0" collapsed="false">
      <c r="A15" s="8" t="s">
        <v>60</v>
      </c>
      <c r="B15" s="9" t="s">
        <v>61</v>
      </c>
      <c r="C15" s="10" t="n">
        <v>999</v>
      </c>
      <c r="D15" s="10" t="n">
        <v>9000</v>
      </c>
      <c r="E15" s="11" t="s">
        <v>30</v>
      </c>
      <c r="F15" s="12" t="s">
        <v>62</v>
      </c>
    </row>
    <row r="16" customFormat="false" ht="15" hidden="false" customHeight="false" outlineLevel="0" collapsed="false">
      <c r="A16" s="8" t="s">
        <v>63</v>
      </c>
      <c r="B16" s="9" t="s">
        <v>61</v>
      </c>
      <c r="C16" s="10" t="n">
        <v>999</v>
      </c>
      <c r="D16" s="10" t="n">
        <v>9000</v>
      </c>
      <c r="E16" s="11" t="s">
        <v>30</v>
      </c>
      <c r="F16" s="12" t="s">
        <v>64</v>
      </c>
    </row>
    <row r="17" customFormat="false" ht="15" hidden="false" customHeight="false" outlineLevel="0" collapsed="false">
      <c r="A17" s="8" t="s">
        <v>65</v>
      </c>
      <c r="B17" s="9" t="s">
        <v>61</v>
      </c>
      <c r="C17" s="10" t="n">
        <v>999</v>
      </c>
      <c r="D17" s="10" t="n">
        <v>9000</v>
      </c>
      <c r="E17" s="11" t="s">
        <v>30</v>
      </c>
      <c r="F17" s="12" t="s">
        <v>66</v>
      </c>
    </row>
    <row r="18" customFormat="false" ht="15" hidden="false" customHeight="false" outlineLevel="0" collapsed="false">
      <c r="A18" s="8" t="s">
        <v>67</v>
      </c>
      <c r="B18" s="9" t="s">
        <v>61</v>
      </c>
      <c r="C18" s="10" t="n">
        <v>999</v>
      </c>
      <c r="D18" s="10" t="n">
        <v>9000</v>
      </c>
      <c r="E18" s="11" t="s">
        <v>30</v>
      </c>
      <c r="F18" s="12" t="s">
        <v>66</v>
      </c>
    </row>
    <row r="19" customFormat="false" ht="15" hidden="false" customHeight="false" outlineLevel="0" collapsed="false">
      <c r="A19" s="8" t="s">
        <v>68</v>
      </c>
      <c r="B19" s="9" t="s">
        <v>61</v>
      </c>
      <c r="C19" s="10" t="n">
        <v>999</v>
      </c>
      <c r="D19" s="10" t="n">
        <v>9000</v>
      </c>
      <c r="E19" s="11" t="s">
        <v>30</v>
      </c>
      <c r="F19" s="12" t="s">
        <v>66</v>
      </c>
    </row>
    <row r="20" customFormat="false" ht="15" hidden="false" customHeight="false" outlineLevel="0" collapsed="false">
      <c r="A20" s="8" t="s">
        <v>69</v>
      </c>
      <c r="B20" s="9" t="s">
        <v>61</v>
      </c>
      <c r="C20" s="10" t="n">
        <v>999</v>
      </c>
      <c r="D20" s="10" t="n">
        <v>9000</v>
      </c>
      <c r="E20" s="11" t="s">
        <v>30</v>
      </c>
      <c r="F20" s="12" t="s">
        <v>66</v>
      </c>
    </row>
    <row r="21" customFormat="false" ht="15" hidden="false" customHeight="false" outlineLevel="0" collapsed="false">
      <c r="A21" s="8" t="s">
        <v>70</v>
      </c>
      <c r="B21" s="9" t="s">
        <v>61</v>
      </c>
      <c r="C21" s="10" t="n">
        <v>999</v>
      </c>
      <c r="D21" s="10" t="n">
        <v>9000</v>
      </c>
      <c r="E21" s="11" t="s">
        <v>30</v>
      </c>
      <c r="F21" s="12" t="s">
        <v>66</v>
      </c>
    </row>
    <row r="22" customFormat="false" ht="15" hidden="false" customHeight="false" outlineLevel="0" collapsed="false">
      <c r="A22" s="8" t="s">
        <v>71</v>
      </c>
      <c r="B22" s="9" t="s">
        <v>61</v>
      </c>
      <c r="C22" s="10" t="n">
        <v>999</v>
      </c>
      <c r="D22" s="10" t="n">
        <v>9000</v>
      </c>
      <c r="E22" s="11" t="s">
        <v>30</v>
      </c>
      <c r="F22" s="12" t="s">
        <v>66</v>
      </c>
    </row>
    <row r="23" customFormat="false" ht="15" hidden="false" customHeight="false" outlineLevel="0" collapsed="false">
      <c r="A23" s="8" t="s">
        <v>72</v>
      </c>
      <c r="B23" s="9" t="s">
        <v>61</v>
      </c>
      <c r="C23" s="10" t="n">
        <v>999</v>
      </c>
      <c r="D23" s="10" t="n">
        <v>9000</v>
      </c>
      <c r="E23" s="11" t="s">
        <v>30</v>
      </c>
      <c r="F23" s="12" t="s">
        <v>66</v>
      </c>
    </row>
    <row r="24" customFormat="false" ht="15" hidden="false" customHeight="false" outlineLevel="0" collapsed="false">
      <c r="A24" s="8" t="s">
        <v>73</v>
      </c>
      <c r="B24" s="9" t="s">
        <v>74</v>
      </c>
      <c r="C24" s="10" t="n">
        <v>1699</v>
      </c>
      <c r="D24" s="10" t="n">
        <v>1749</v>
      </c>
      <c r="E24" s="11" t="s">
        <v>30</v>
      </c>
      <c r="F24" s="12" t="s">
        <v>75</v>
      </c>
    </row>
    <row r="25" customFormat="false" ht="15" hidden="false" customHeight="false" outlineLevel="0" collapsed="false">
      <c r="A25" s="8" t="s">
        <v>76</v>
      </c>
      <c r="B25" s="9" t="s">
        <v>77</v>
      </c>
      <c r="C25" s="10" t="n">
        <v>300</v>
      </c>
      <c r="D25" s="10" t="n">
        <v>800</v>
      </c>
      <c r="E25" s="11" t="s">
        <v>30</v>
      </c>
      <c r="F25" s="12" t="s">
        <v>78</v>
      </c>
    </row>
    <row r="26" customFormat="false" ht="15" hidden="false" customHeight="false" outlineLevel="0" collapsed="false">
      <c r="A26" s="8" t="s">
        <v>79</v>
      </c>
      <c r="B26" s="9" t="s">
        <v>80</v>
      </c>
      <c r="C26" s="10" t="n">
        <v>445</v>
      </c>
      <c r="D26" s="10" t="n">
        <v>645</v>
      </c>
      <c r="E26" s="11" t="s">
        <v>30</v>
      </c>
      <c r="F26" s="12" t="s">
        <v>81</v>
      </c>
    </row>
    <row r="27" customFormat="false" ht="15" hidden="false" customHeight="false" outlineLevel="0" collapsed="false">
      <c r="A27" s="8" t="s">
        <v>82</v>
      </c>
      <c r="B27" s="9" t="s">
        <v>83</v>
      </c>
      <c r="C27" s="10" t="n">
        <v>195</v>
      </c>
      <c r="D27" s="10" t="n">
        <v>195</v>
      </c>
      <c r="E27" s="11" t="s">
        <v>48</v>
      </c>
      <c r="F27" s="12" t="s">
        <v>84</v>
      </c>
    </row>
    <row r="28" customFormat="false" ht="15" hidden="false" customHeight="false" outlineLevel="0" collapsed="false">
      <c r="A28" s="8" t="s">
        <v>85</v>
      </c>
      <c r="B28" s="9" t="s">
        <v>29</v>
      </c>
      <c r="C28" s="10" t="n">
        <v>249</v>
      </c>
      <c r="D28" s="10" t="n">
        <v>900</v>
      </c>
      <c r="E28" s="11" t="s">
        <v>56</v>
      </c>
      <c r="F28" s="12" t="s">
        <v>86</v>
      </c>
    </row>
    <row r="29" customFormat="false" ht="15" hidden="false" customHeight="false" outlineLevel="0" collapsed="false">
      <c r="A29" s="8" t="s">
        <v>87</v>
      </c>
      <c r="B29" s="9" t="s">
        <v>88</v>
      </c>
      <c r="C29" s="10" t="n">
        <v>999</v>
      </c>
      <c r="D29" s="10" t="n">
        <v>999</v>
      </c>
      <c r="E29" s="11" t="s">
        <v>48</v>
      </c>
      <c r="F29" s="12" t="s">
        <v>89</v>
      </c>
    </row>
    <row r="30" customFormat="false" ht="15" hidden="false" customHeight="false" outlineLevel="0" collapsed="false">
      <c r="A30" s="8" t="s">
        <v>90</v>
      </c>
      <c r="B30" s="9" t="s">
        <v>88</v>
      </c>
      <c r="C30" s="10" t="n">
        <v>700</v>
      </c>
      <c r="D30" s="10" t="n">
        <v>700</v>
      </c>
      <c r="E30" s="11" t="s">
        <v>48</v>
      </c>
      <c r="F30" s="12" t="s">
        <v>91</v>
      </c>
    </row>
    <row r="31" customFormat="false" ht="15" hidden="false" customHeight="false" outlineLevel="0" collapsed="false">
      <c r="A31" s="8" t="s">
        <v>92</v>
      </c>
      <c r="B31" s="9" t="s">
        <v>93</v>
      </c>
      <c r="C31" s="10" t="n">
        <v>500</v>
      </c>
      <c r="D31" s="10" t="n">
        <v>1000</v>
      </c>
      <c r="E31" s="11" t="s">
        <v>48</v>
      </c>
      <c r="F31" s="12" t="s">
        <v>94</v>
      </c>
    </row>
    <row r="32" customFormat="false" ht="15" hidden="false" customHeight="false" outlineLevel="0" collapsed="false">
      <c r="A32" s="8" t="s">
        <v>95</v>
      </c>
      <c r="B32" s="9" t="s">
        <v>96</v>
      </c>
      <c r="C32" s="10" t="n">
        <v>450</v>
      </c>
      <c r="D32" s="10" t="n">
        <v>1500</v>
      </c>
      <c r="E32" s="11" t="s">
        <v>48</v>
      </c>
      <c r="F32" s="12" t="s">
        <v>97</v>
      </c>
    </row>
    <row r="33" customFormat="false" ht="15" hidden="false" customHeight="false" outlineLevel="0" collapsed="false">
      <c r="A33" s="8" t="s">
        <v>98</v>
      </c>
      <c r="B33" s="9" t="s">
        <v>93</v>
      </c>
      <c r="C33" s="10" t="n">
        <v>450</v>
      </c>
      <c r="D33" s="10" t="n">
        <v>1500</v>
      </c>
      <c r="E33" s="11" t="s">
        <v>48</v>
      </c>
      <c r="F33" s="12" t="s">
        <v>99</v>
      </c>
    </row>
    <row r="34" customFormat="false" ht="15" hidden="false" customHeight="false" outlineLevel="0" collapsed="false">
      <c r="A34" s="8" t="s">
        <v>100</v>
      </c>
      <c r="B34" s="9" t="s">
        <v>101</v>
      </c>
      <c r="C34" s="10" t="n">
        <v>595</v>
      </c>
      <c r="D34" s="10" t="n">
        <v>1500</v>
      </c>
      <c r="E34" s="11" t="s">
        <v>48</v>
      </c>
      <c r="F34" s="12" t="s">
        <v>102</v>
      </c>
    </row>
    <row r="35" customFormat="false" ht="15" hidden="false" customHeight="false" outlineLevel="0" collapsed="false">
      <c r="A35" s="8" t="s">
        <v>103</v>
      </c>
      <c r="B35" s="9" t="s">
        <v>104</v>
      </c>
      <c r="C35" s="10" t="n">
        <v>485</v>
      </c>
      <c r="D35" s="10" t="n">
        <v>1500</v>
      </c>
      <c r="E35" s="11" t="s">
        <v>48</v>
      </c>
      <c r="F35" s="12" t="s">
        <v>105</v>
      </c>
    </row>
    <row r="36" customFormat="false" ht="15" hidden="false" customHeight="false" outlineLevel="0" collapsed="false">
      <c r="A36" s="8" t="s">
        <v>106</v>
      </c>
      <c r="B36" s="9" t="s">
        <v>107</v>
      </c>
      <c r="C36" s="10" t="n">
        <v>200</v>
      </c>
      <c r="D36" s="10" t="n">
        <v>3000</v>
      </c>
      <c r="E36" s="11" t="s">
        <v>48</v>
      </c>
      <c r="F36" s="12" t="s">
        <v>108</v>
      </c>
    </row>
    <row r="37" customFormat="false" ht="15" hidden="false" customHeight="false" outlineLevel="0" collapsed="false">
      <c r="A37" s="8" t="s">
        <v>109</v>
      </c>
      <c r="B37" s="9" t="s">
        <v>110</v>
      </c>
      <c r="C37" s="10" t="n">
        <v>500</v>
      </c>
      <c r="D37" s="10" t="n">
        <v>3000</v>
      </c>
      <c r="E37" s="11" t="s">
        <v>48</v>
      </c>
      <c r="F37" s="12" t="s">
        <v>111</v>
      </c>
    </row>
    <row r="38" customFormat="false" ht="15" hidden="false" customHeight="false" outlineLevel="0" collapsed="false">
      <c r="A38" s="8" t="s">
        <v>112</v>
      </c>
      <c r="B38" s="9" t="s">
        <v>110</v>
      </c>
      <c r="C38" s="10" t="n">
        <v>500</v>
      </c>
      <c r="D38" s="10" t="n">
        <v>3000</v>
      </c>
      <c r="E38" s="11" t="s">
        <v>48</v>
      </c>
      <c r="F38" s="12" t="s">
        <v>113</v>
      </c>
    </row>
    <row r="39" customFormat="false" ht="15" hidden="false" customHeight="false" outlineLevel="0" collapsed="false">
      <c r="A39" s="8" t="s">
        <v>114</v>
      </c>
      <c r="B39" s="9" t="s">
        <v>115</v>
      </c>
      <c r="C39" s="10" t="n">
        <v>500</v>
      </c>
      <c r="D39" s="10" t="n">
        <v>1000</v>
      </c>
      <c r="E39" s="11" t="s">
        <v>116</v>
      </c>
      <c r="F39" s="12" t="s">
        <v>117</v>
      </c>
    </row>
    <row r="40" customFormat="false" ht="15" hidden="false" customHeight="false" outlineLevel="0" collapsed="false">
      <c r="A40" s="8" t="s">
        <v>118</v>
      </c>
      <c r="B40" s="9" t="s">
        <v>115</v>
      </c>
      <c r="C40" s="10" t="n">
        <v>400</v>
      </c>
      <c r="D40" s="10" t="n">
        <v>800</v>
      </c>
      <c r="E40" s="11" t="s">
        <v>116</v>
      </c>
      <c r="F40" s="12" t="s">
        <v>117</v>
      </c>
    </row>
    <row r="41" customFormat="false" ht="15" hidden="false" customHeight="false" outlineLevel="0" collapsed="false">
      <c r="A41" s="8" t="s">
        <v>119</v>
      </c>
      <c r="B41" s="9" t="s">
        <v>120</v>
      </c>
      <c r="C41" s="10" t="n">
        <v>550</v>
      </c>
      <c r="D41" s="10" t="n">
        <v>1200</v>
      </c>
      <c r="E41" s="11" t="s">
        <v>30</v>
      </c>
      <c r="F41" s="12" t="s">
        <v>121</v>
      </c>
    </row>
    <row r="42" customFormat="false" ht="15" hidden="false" customHeight="false" outlineLevel="0" collapsed="false">
      <c r="A42" s="8" t="s">
        <v>122</v>
      </c>
      <c r="B42" s="9" t="s">
        <v>120</v>
      </c>
      <c r="C42" s="10" t="n">
        <v>550</v>
      </c>
      <c r="D42" s="10" t="n">
        <v>1200</v>
      </c>
      <c r="E42" s="11" t="s">
        <v>30</v>
      </c>
      <c r="F42" s="12" t="s">
        <v>123</v>
      </c>
    </row>
    <row r="43" customFormat="false" ht="15" hidden="false" customHeight="false" outlineLevel="0" collapsed="false">
      <c r="A43" s="8" t="s">
        <v>124</v>
      </c>
      <c r="B43" s="9" t="s">
        <v>120</v>
      </c>
      <c r="C43" s="10" t="n">
        <v>550</v>
      </c>
      <c r="D43" s="10" t="n">
        <v>1200</v>
      </c>
      <c r="E43" s="11" t="s">
        <v>30</v>
      </c>
      <c r="F43" s="12" t="s">
        <v>123</v>
      </c>
    </row>
    <row r="44" customFormat="false" ht="15" hidden="false" customHeight="false" outlineLevel="0" collapsed="false">
      <c r="A44" s="8" t="s">
        <v>125</v>
      </c>
      <c r="B44" s="9" t="s">
        <v>126</v>
      </c>
      <c r="C44" s="10" t="n">
        <v>1000</v>
      </c>
      <c r="D44" s="10" t="n">
        <v>1500</v>
      </c>
      <c r="E44" s="11" t="s">
        <v>48</v>
      </c>
      <c r="F44" s="12" t="s">
        <v>127</v>
      </c>
    </row>
    <row r="45" customFormat="false" ht="15" hidden="false" customHeight="false" outlineLevel="0" collapsed="false">
      <c r="A45" s="8" t="s">
        <v>128</v>
      </c>
      <c r="B45" s="9" t="s">
        <v>115</v>
      </c>
      <c r="C45" s="10" t="n">
        <v>1000</v>
      </c>
      <c r="D45" s="10" t="n">
        <v>1500</v>
      </c>
      <c r="E45" s="11" t="s">
        <v>116</v>
      </c>
      <c r="F45" s="12" t="s">
        <v>129</v>
      </c>
    </row>
    <row r="47" customFormat="false" ht="15" hidden="false" customHeight="false" outlineLevel="0" collapsed="false">
      <c r="A47" s="1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5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6" t="s">
        <v>131</v>
      </c>
      <c r="B1" s="6" t="s">
        <v>22</v>
      </c>
      <c r="C1" s="7" t="s">
        <v>24</v>
      </c>
      <c r="D1" s="7" t="s">
        <v>25</v>
      </c>
    </row>
    <row r="2" customFormat="false" ht="15" hidden="false" customHeight="false" outlineLevel="0" collapsed="false">
      <c r="A2" s="9" t="s">
        <v>132</v>
      </c>
      <c r="B2" s="9" t="s">
        <v>28</v>
      </c>
      <c r="C2" s="14" t="n">
        <f aca="false">VLOOKUP(B2,'Certification Costs'!$A:$D,3,FALSE())</f>
        <v>749</v>
      </c>
      <c r="D2" s="14" t="n">
        <f aca="false">VLOOKUP(B2,'Certification Costs'!$A:$D,4,FALSE())</f>
        <v>2500</v>
      </c>
    </row>
    <row r="3" customFormat="false" ht="15" hidden="false" customHeight="false" outlineLevel="0" collapsed="false">
      <c r="A3" s="9" t="s">
        <v>132</v>
      </c>
      <c r="B3" s="9" t="s">
        <v>32</v>
      </c>
      <c r="C3" s="14" t="n">
        <f aca="false">VLOOKUP(B3,'Certification Costs'!$A:$D,3,FALSE())</f>
        <v>760</v>
      </c>
      <c r="D3" s="14" t="n">
        <f aca="false">VLOOKUP(B3,'Certification Costs'!$A:$D,4,FALSE())</f>
        <v>1800</v>
      </c>
    </row>
    <row r="4" customFormat="false" ht="15" hidden="false" customHeight="false" outlineLevel="0" collapsed="false">
      <c r="A4" s="9" t="s">
        <v>132</v>
      </c>
      <c r="B4" s="9" t="s">
        <v>60</v>
      </c>
      <c r="C4" s="14" t="n">
        <f aca="false">VLOOKUP(B4,'Certification Costs'!$A:$D,3,FALSE())</f>
        <v>999</v>
      </c>
      <c r="D4" s="14" t="n">
        <f aca="false">VLOOKUP(B4,'Certification Costs'!$A:$D,4,FALSE())</f>
        <v>9000</v>
      </c>
    </row>
    <row r="5" customFormat="false" ht="15" hidden="false" customHeight="false" outlineLevel="0" collapsed="false">
      <c r="A5" s="9" t="s">
        <v>133</v>
      </c>
      <c r="B5" s="9" t="s">
        <v>28</v>
      </c>
      <c r="C5" s="14" t="n">
        <f aca="false">VLOOKUP(B5,'Certification Costs'!$A:$D,3,FALSE())</f>
        <v>749</v>
      </c>
      <c r="D5" s="14" t="n">
        <f aca="false">VLOOKUP(B5,'Certification Costs'!$A:$D,4,FALSE())</f>
        <v>2500</v>
      </c>
    </row>
    <row r="6" customFormat="false" ht="15" hidden="false" customHeight="false" outlineLevel="0" collapsed="false">
      <c r="A6" s="9" t="s">
        <v>133</v>
      </c>
      <c r="B6" s="9" t="s">
        <v>32</v>
      </c>
      <c r="C6" s="14" t="n">
        <f aca="false">VLOOKUP(B6,'Certification Costs'!$A:$D,3,FALSE())</f>
        <v>760</v>
      </c>
      <c r="D6" s="14" t="n">
        <f aca="false">VLOOKUP(B6,'Certification Costs'!$A:$D,4,FALSE())</f>
        <v>1800</v>
      </c>
    </row>
    <row r="7" customFormat="false" ht="15" hidden="false" customHeight="false" outlineLevel="0" collapsed="false">
      <c r="A7" s="9" t="s">
        <v>133</v>
      </c>
      <c r="B7" s="9" t="s">
        <v>38</v>
      </c>
      <c r="C7" s="14" t="n">
        <f aca="false">VLOOKUP(B7,'Certification Costs'!$A:$D,3,FALSE())</f>
        <v>425</v>
      </c>
      <c r="D7" s="14" t="n">
        <f aca="false">VLOOKUP(B7,'Certification Costs'!$A:$D,4,FALSE())</f>
        <v>900</v>
      </c>
    </row>
    <row r="8" customFormat="false" ht="15" hidden="false" customHeight="false" outlineLevel="0" collapsed="false">
      <c r="A8" s="9" t="s">
        <v>134</v>
      </c>
      <c r="B8" s="9" t="s">
        <v>28</v>
      </c>
      <c r="C8" s="14" t="n">
        <f aca="false">VLOOKUP(B8,'Certification Costs'!$A:$D,3,FALSE())</f>
        <v>749</v>
      </c>
      <c r="D8" s="14" t="n">
        <f aca="false">VLOOKUP(B8,'Certification Costs'!$A:$D,4,FALSE())</f>
        <v>2500</v>
      </c>
    </row>
    <row r="9" customFormat="false" ht="15" hidden="false" customHeight="false" outlineLevel="0" collapsed="false">
      <c r="A9" s="9" t="s">
        <v>134</v>
      </c>
      <c r="B9" s="9" t="s">
        <v>50</v>
      </c>
      <c r="C9" s="14" t="n">
        <f aca="false">VLOOKUP(B9,'Certification Costs'!$A:$D,3,FALSE())</f>
        <v>1199</v>
      </c>
      <c r="D9" s="14" t="n">
        <f aca="false">VLOOKUP(B9,'Certification Costs'!$A:$D,4,FALSE())</f>
        <v>3000</v>
      </c>
    </row>
    <row r="10" customFormat="false" ht="15" hidden="false" customHeight="false" outlineLevel="0" collapsed="false">
      <c r="A10" s="9" t="s">
        <v>134</v>
      </c>
      <c r="B10" s="9" t="s">
        <v>63</v>
      </c>
      <c r="C10" s="14" t="n">
        <f aca="false">VLOOKUP(B10,'Certification Costs'!$A:$D,3,FALSE())</f>
        <v>999</v>
      </c>
      <c r="D10" s="14" t="n">
        <f aca="false">VLOOKUP(B10,'Certification Costs'!$A:$D,4,FALSE())</f>
        <v>9000</v>
      </c>
    </row>
    <row r="11" customFormat="false" ht="15" hidden="false" customHeight="false" outlineLevel="0" collapsed="false">
      <c r="A11" s="9" t="s">
        <v>134</v>
      </c>
      <c r="B11" s="9" t="s">
        <v>32</v>
      </c>
      <c r="C11" s="14" t="n">
        <f aca="false">VLOOKUP(B11,'Certification Costs'!$A:$D,3,FALSE())</f>
        <v>760</v>
      </c>
      <c r="D11" s="14" t="n">
        <f aca="false">VLOOKUP(B11,'Certification Costs'!$A:$D,4,FALSE())</f>
        <v>1800</v>
      </c>
    </row>
    <row r="12" customFormat="false" ht="15" hidden="false" customHeight="false" outlineLevel="0" collapsed="false">
      <c r="A12" s="9" t="s">
        <v>135</v>
      </c>
      <c r="B12" s="9" t="s">
        <v>28</v>
      </c>
      <c r="C12" s="14" t="n">
        <f aca="false">VLOOKUP(B12,'Certification Costs'!$A:$D,3,FALSE())</f>
        <v>749</v>
      </c>
      <c r="D12" s="14" t="n">
        <f aca="false">VLOOKUP(B12,'Certification Costs'!$A:$D,4,FALSE())</f>
        <v>2500</v>
      </c>
    </row>
    <row r="13" customFormat="false" ht="15" hidden="false" customHeight="false" outlineLevel="0" collapsed="false">
      <c r="A13" s="9" t="s">
        <v>135</v>
      </c>
      <c r="B13" s="9" t="s">
        <v>37</v>
      </c>
      <c r="C13" s="14" t="n">
        <f aca="false">VLOOKUP(B13,'Certification Costs'!$A:$D,3,FALSE())</f>
        <v>760</v>
      </c>
      <c r="D13" s="14" t="n">
        <f aca="false">VLOOKUP(B13,'Certification Costs'!$A:$D,4,FALSE())</f>
        <v>1600</v>
      </c>
    </row>
    <row r="14" customFormat="false" ht="15" hidden="false" customHeight="false" outlineLevel="0" collapsed="false">
      <c r="A14" s="9" t="s">
        <v>135</v>
      </c>
      <c r="B14" s="9" t="s">
        <v>35</v>
      </c>
      <c r="C14" s="14" t="n">
        <f aca="false">VLOOKUP(B14,'Certification Costs'!$A:$D,3,FALSE())</f>
        <v>760</v>
      </c>
      <c r="D14" s="14" t="n">
        <f aca="false">VLOOKUP(B14,'Certification Costs'!$A:$D,4,FALSE())</f>
        <v>1700</v>
      </c>
    </row>
    <row r="15" customFormat="false" ht="15" hidden="false" customHeight="false" outlineLevel="0" collapsed="false">
      <c r="A15" s="9" t="s">
        <v>135</v>
      </c>
      <c r="B15" s="9" t="s">
        <v>60</v>
      </c>
      <c r="C15" s="14" t="n">
        <f aca="false">VLOOKUP(B15,'Certification Costs'!$A:$D,3,FALSE())</f>
        <v>999</v>
      </c>
      <c r="D15" s="14" t="n">
        <f aca="false">VLOOKUP(B15,'Certification Costs'!$A:$D,4,FALSE())</f>
        <v>9000</v>
      </c>
    </row>
    <row r="16" customFormat="false" ht="15" hidden="false" customHeight="false" outlineLevel="0" collapsed="false">
      <c r="A16" s="9" t="s">
        <v>135</v>
      </c>
      <c r="B16" s="9" t="s">
        <v>100</v>
      </c>
      <c r="C16" s="14" t="n">
        <f aca="false">VLOOKUP(B16,'Certification Costs'!$A:$D,3,FALSE())</f>
        <v>595</v>
      </c>
      <c r="D16" s="14" t="n">
        <f aca="false">VLOOKUP(B16,'Certification Costs'!$A:$D,4,FALSE())</f>
        <v>1500</v>
      </c>
    </row>
    <row r="17" customFormat="false" ht="15" hidden="false" customHeight="false" outlineLevel="0" collapsed="false">
      <c r="A17" s="9" t="s">
        <v>136</v>
      </c>
      <c r="B17" s="9" t="s">
        <v>28</v>
      </c>
      <c r="C17" s="14" t="n">
        <f aca="false">VLOOKUP(B17,'Certification Costs'!$A:$D,3,FALSE())</f>
        <v>749</v>
      </c>
      <c r="D17" s="14" t="n">
        <f aca="false">VLOOKUP(B17,'Certification Costs'!$A:$D,4,FALSE())</f>
        <v>2500</v>
      </c>
    </row>
    <row r="18" customFormat="false" ht="15" hidden="false" customHeight="false" outlineLevel="0" collapsed="false">
      <c r="A18" s="9" t="s">
        <v>136</v>
      </c>
      <c r="B18" s="9" t="s">
        <v>32</v>
      </c>
      <c r="C18" s="14" t="n">
        <f aca="false">VLOOKUP(B18,'Certification Costs'!$A:$D,3,FALSE())</f>
        <v>760</v>
      </c>
      <c r="D18" s="14" t="n">
        <f aca="false">VLOOKUP(B18,'Certification Costs'!$A:$D,4,FALSE())</f>
        <v>1800</v>
      </c>
    </row>
    <row r="19" customFormat="false" ht="15" hidden="false" customHeight="false" outlineLevel="0" collapsed="false">
      <c r="A19" s="9" t="s">
        <v>136</v>
      </c>
      <c r="B19" s="9" t="s">
        <v>44</v>
      </c>
      <c r="C19" s="14" t="n">
        <f aca="false">VLOOKUP(B19,'Certification Costs'!$A:$D,3,FALSE())</f>
        <v>529</v>
      </c>
      <c r="D19" s="14" t="n">
        <f aca="false">VLOOKUP(B19,'Certification Costs'!$A:$D,4,FALSE())</f>
        <v>1200</v>
      </c>
    </row>
    <row r="20" customFormat="false" ht="15" hidden="false" customHeight="false" outlineLevel="0" collapsed="false">
      <c r="A20" s="9" t="s">
        <v>136</v>
      </c>
      <c r="B20" s="9" t="s">
        <v>60</v>
      </c>
      <c r="C20" s="14" t="n">
        <f aca="false">VLOOKUP(B20,'Certification Costs'!$A:$D,3,FALSE())</f>
        <v>999</v>
      </c>
      <c r="D20" s="14" t="n">
        <f aca="false">VLOOKUP(B20,'Certification Costs'!$A:$D,4,FALSE())</f>
        <v>9000</v>
      </c>
    </row>
    <row r="21" customFormat="false" ht="15" hidden="false" customHeight="false" outlineLevel="0" collapsed="false">
      <c r="A21" s="9" t="s">
        <v>136</v>
      </c>
      <c r="B21" s="9" t="s">
        <v>85</v>
      </c>
      <c r="C21" s="14" t="n">
        <f aca="false">VLOOKUP(B21,'Certification Costs'!$A:$D,3,FALSE())</f>
        <v>249</v>
      </c>
      <c r="D21" s="14" t="n">
        <f aca="false">VLOOKUP(B21,'Certification Costs'!$A:$D,4,FALSE())</f>
        <v>900</v>
      </c>
    </row>
    <row r="22" customFormat="false" ht="15" hidden="false" customHeight="false" outlineLevel="0" collapsed="false">
      <c r="A22" s="9" t="s">
        <v>137</v>
      </c>
      <c r="B22" s="9" t="s">
        <v>53</v>
      </c>
      <c r="C22" s="14" t="n">
        <f aca="false">VLOOKUP(B22,'Certification Costs'!$A:$D,3,FALSE())</f>
        <v>250</v>
      </c>
      <c r="D22" s="14" t="n">
        <f aca="false">VLOOKUP(B22,'Certification Costs'!$A:$D,4,FALSE())</f>
        <v>800</v>
      </c>
    </row>
    <row r="23" customFormat="false" ht="15" hidden="false" customHeight="false" outlineLevel="0" collapsed="false">
      <c r="A23" s="9" t="s">
        <v>137</v>
      </c>
      <c r="B23" s="9" t="s">
        <v>38</v>
      </c>
      <c r="C23" s="14" t="n">
        <f aca="false">VLOOKUP(B23,'Certification Costs'!$A:$D,3,FALSE())</f>
        <v>425</v>
      </c>
      <c r="D23" s="14" t="n">
        <f aca="false">VLOOKUP(B23,'Certification Costs'!$A:$D,4,FALSE())</f>
        <v>900</v>
      </c>
    </row>
    <row r="24" customFormat="false" ht="15" hidden="false" customHeight="false" outlineLevel="0" collapsed="false">
      <c r="A24" s="9" t="s">
        <v>138</v>
      </c>
      <c r="B24" s="9" t="s">
        <v>65</v>
      </c>
      <c r="C24" s="14" t="n">
        <f aca="false">VLOOKUP(B24,'Certification Costs'!$A:$D,3,FALSE())</f>
        <v>999</v>
      </c>
      <c r="D24" s="14" t="n">
        <f aca="false">VLOOKUP(B24,'Certification Costs'!$A:$D,4,FALSE())</f>
        <v>9000</v>
      </c>
    </row>
    <row r="25" customFormat="false" ht="15" hidden="false" customHeight="false" outlineLevel="0" collapsed="false">
      <c r="A25" s="9" t="s">
        <v>138</v>
      </c>
      <c r="B25" s="9" t="s">
        <v>87</v>
      </c>
      <c r="C25" s="14" t="n">
        <f aca="false">VLOOKUP(B25,'Certification Costs'!$A:$D,3,FALSE())</f>
        <v>999</v>
      </c>
      <c r="D25" s="14" t="n">
        <f aca="false">VLOOKUP(B25,'Certification Costs'!$A:$D,4,FALSE())</f>
        <v>999</v>
      </c>
    </row>
    <row r="26" customFormat="false" ht="15" hidden="false" customHeight="false" outlineLevel="0" collapsed="false">
      <c r="A26" s="9" t="s">
        <v>138</v>
      </c>
      <c r="B26" s="9" t="s">
        <v>90</v>
      </c>
      <c r="C26" s="14" t="n">
        <f aca="false">VLOOKUP(B26,'Certification Costs'!$A:$D,3,FALSE())</f>
        <v>700</v>
      </c>
      <c r="D26" s="14" t="n">
        <f aca="false">VLOOKUP(B26,'Certification Costs'!$A:$D,4,FALSE())</f>
        <v>700</v>
      </c>
    </row>
    <row r="27" customFormat="false" ht="15" hidden="false" customHeight="false" outlineLevel="0" collapsed="false">
      <c r="A27" s="9" t="s">
        <v>138</v>
      </c>
      <c r="B27" s="9" t="s">
        <v>79</v>
      </c>
      <c r="C27" s="14" t="n">
        <f aca="false">VLOOKUP(B27,'Certification Costs'!$A:$D,3,FALSE())</f>
        <v>445</v>
      </c>
      <c r="D27" s="14" t="n">
        <f aca="false">VLOOKUP(B27,'Certification Costs'!$A:$D,4,FALSE())</f>
        <v>645</v>
      </c>
    </row>
    <row r="28" customFormat="false" ht="15" hidden="false" customHeight="false" outlineLevel="0" collapsed="false">
      <c r="A28" s="9" t="s">
        <v>138</v>
      </c>
      <c r="B28" s="9" t="s">
        <v>82</v>
      </c>
      <c r="C28" s="14" t="n">
        <f aca="false">VLOOKUP(B28,'Certification Costs'!$A:$D,3,FALSE())</f>
        <v>195</v>
      </c>
      <c r="D28" s="14" t="n">
        <f aca="false">VLOOKUP(B28,'Certification Costs'!$A:$D,4,FALSE())</f>
        <v>195</v>
      </c>
    </row>
    <row r="29" customFormat="false" ht="15" hidden="false" customHeight="false" outlineLevel="0" collapsed="false">
      <c r="A29" s="9" t="s">
        <v>139</v>
      </c>
      <c r="B29" s="9" t="s">
        <v>38</v>
      </c>
      <c r="C29" s="14" t="n">
        <f aca="false">VLOOKUP(B29,'Certification Costs'!$A:$D,3,FALSE())</f>
        <v>425</v>
      </c>
      <c r="D29" s="14" t="n">
        <f aca="false">VLOOKUP(B29,'Certification Costs'!$A:$D,4,FALSE())</f>
        <v>900</v>
      </c>
    </row>
    <row r="30" customFormat="false" ht="15" hidden="false" customHeight="false" outlineLevel="0" collapsed="false">
      <c r="A30" s="9" t="s">
        <v>139</v>
      </c>
      <c r="B30" s="9" t="s">
        <v>28</v>
      </c>
      <c r="C30" s="14" t="n">
        <f aca="false">VLOOKUP(B30,'Certification Costs'!$A:$D,3,FALSE())</f>
        <v>749</v>
      </c>
      <c r="D30" s="14" t="n">
        <f aca="false">VLOOKUP(B30,'Certification Costs'!$A:$D,4,FALSE())</f>
        <v>2500</v>
      </c>
    </row>
    <row r="31" customFormat="false" ht="15" hidden="false" customHeight="false" outlineLevel="0" collapsed="false">
      <c r="A31" s="9" t="s">
        <v>139</v>
      </c>
      <c r="B31" s="9" t="s">
        <v>32</v>
      </c>
      <c r="C31" s="14" t="n">
        <f aca="false">VLOOKUP(B31,'Certification Costs'!$A:$D,3,FALSE())</f>
        <v>760</v>
      </c>
      <c r="D31" s="14" t="n">
        <f aca="false">VLOOKUP(B31,'Certification Costs'!$A:$D,4,FALSE())</f>
        <v>1800</v>
      </c>
    </row>
    <row r="32" customFormat="false" ht="15" hidden="false" customHeight="false" outlineLevel="0" collapsed="false">
      <c r="A32" s="9" t="s">
        <v>139</v>
      </c>
      <c r="B32" s="9" t="s">
        <v>50</v>
      </c>
      <c r="C32" s="14" t="n">
        <f aca="false">VLOOKUP(B32,'Certification Costs'!$A:$D,3,FALSE())</f>
        <v>1199</v>
      </c>
      <c r="D32" s="14" t="n">
        <f aca="false">VLOOKUP(B32,'Certification Costs'!$A:$D,4,FALSE())</f>
        <v>3000</v>
      </c>
    </row>
    <row r="33" customFormat="false" ht="15" hidden="false" customHeight="false" outlineLevel="0" collapsed="false">
      <c r="A33" s="9" t="s">
        <v>140</v>
      </c>
      <c r="B33" s="9" t="s">
        <v>38</v>
      </c>
      <c r="C33" s="14" t="n">
        <f aca="false">VLOOKUP(B33,'Certification Costs'!$A:$D,3,FALSE())</f>
        <v>425</v>
      </c>
      <c r="D33" s="14" t="n">
        <f aca="false">VLOOKUP(B33,'Certification Costs'!$A:$D,4,FALSE())</f>
        <v>900</v>
      </c>
    </row>
    <row r="34" customFormat="false" ht="15" hidden="false" customHeight="false" outlineLevel="0" collapsed="false">
      <c r="A34" s="9" t="s">
        <v>140</v>
      </c>
      <c r="B34" s="9" t="s">
        <v>50</v>
      </c>
      <c r="C34" s="14" t="n">
        <f aca="false">VLOOKUP(B34,'Certification Costs'!$A:$D,3,FALSE())</f>
        <v>1199</v>
      </c>
      <c r="D34" s="14" t="n">
        <f aca="false">VLOOKUP(B34,'Certification Costs'!$A:$D,4,FALSE())</f>
        <v>3000</v>
      </c>
    </row>
    <row r="35" customFormat="false" ht="15" hidden="false" customHeight="false" outlineLevel="0" collapsed="false">
      <c r="A35" s="9" t="s">
        <v>140</v>
      </c>
      <c r="B35" s="9" t="s">
        <v>28</v>
      </c>
      <c r="C35" s="14" t="n">
        <f aca="false">VLOOKUP(B35,'Certification Costs'!$A:$D,3,FALSE())</f>
        <v>749</v>
      </c>
      <c r="D35" s="14" t="n">
        <f aca="false">VLOOKUP(B35,'Certification Costs'!$A:$D,4,FALSE())</f>
        <v>2500</v>
      </c>
    </row>
    <row r="36" customFormat="false" ht="15" hidden="false" customHeight="false" outlineLevel="0" collapsed="false">
      <c r="A36" s="9" t="s">
        <v>141</v>
      </c>
      <c r="B36" s="9" t="s">
        <v>73</v>
      </c>
      <c r="C36" s="14" t="n">
        <f aca="false">VLOOKUP(B36,'Certification Costs'!$A:$D,3,FALSE())</f>
        <v>1699</v>
      </c>
      <c r="D36" s="14" t="n">
        <f aca="false">VLOOKUP(B36,'Certification Costs'!$A:$D,4,FALSE())</f>
        <v>1749</v>
      </c>
    </row>
    <row r="37" customFormat="false" ht="15" hidden="false" customHeight="false" outlineLevel="0" collapsed="false">
      <c r="A37" s="9" t="s">
        <v>141</v>
      </c>
      <c r="B37" s="9" t="s">
        <v>50</v>
      </c>
      <c r="C37" s="14" t="n">
        <f aca="false">VLOOKUP(B37,'Certification Costs'!$A:$D,3,FALSE())</f>
        <v>1199</v>
      </c>
      <c r="D37" s="14" t="n">
        <f aca="false">VLOOKUP(B37,'Certification Costs'!$A:$D,4,FALSE())</f>
        <v>3000</v>
      </c>
    </row>
    <row r="38" customFormat="false" ht="15" hidden="false" customHeight="false" outlineLevel="0" collapsed="false">
      <c r="A38" s="9" t="s">
        <v>141</v>
      </c>
      <c r="B38" s="9" t="s">
        <v>41</v>
      </c>
      <c r="C38" s="14" t="n">
        <f aca="false">VLOOKUP(B38,'Certification Costs'!$A:$D,3,FALSE())</f>
        <v>425</v>
      </c>
      <c r="D38" s="14" t="n">
        <f aca="false">VLOOKUP(B38,'Certification Costs'!$A:$D,4,FALSE())</f>
        <v>900</v>
      </c>
    </row>
    <row r="39" customFormat="false" ht="15" hidden="false" customHeight="false" outlineLevel="0" collapsed="false">
      <c r="A39" s="9" t="s">
        <v>141</v>
      </c>
      <c r="B39" s="9" t="s">
        <v>92</v>
      </c>
      <c r="C39" s="14" t="n">
        <f aca="false">VLOOKUP(B39,'Certification Costs'!$A:$D,3,FALSE())</f>
        <v>500</v>
      </c>
      <c r="D39" s="14" t="n">
        <f aca="false">VLOOKUP(B39,'Certification Costs'!$A:$D,4,FALSE())</f>
        <v>1000</v>
      </c>
    </row>
    <row r="40" customFormat="false" ht="15" hidden="false" customHeight="false" outlineLevel="0" collapsed="false">
      <c r="A40" s="9" t="s">
        <v>142</v>
      </c>
      <c r="B40" s="9" t="s">
        <v>28</v>
      </c>
      <c r="C40" s="14" t="n">
        <f aca="false">VLOOKUP(B40,'Certification Costs'!$A:$D,3,FALSE())</f>
        <v>749</v>
      </c>
      <c r="D40" s="14" t="n">
        <f aca="false">VLOOKUP(B40,'Certification Costs'!$A:$D,4,FALSE())</f>
        <v>2500</v>
      </c>
    </row>
    <row r="41" customFormat="false" ht="15" hidden="false" customHeight="false" outlineLevel="0" collapsed="false">
      <c r="A41" s="9" t="s">
        <v>142</v>
      </c>
      <c r="B41" s="9" t="s">
        <v>32</v>
      </c>
      <c r="C41" s="14" t="n">
        <f aca="false">VLOOKUP(B41,'Certification Costs'!$A:$D,3,FALSE())</f>
        <v>760</v>
      </c>
      <c r="D41" s="14" t="n">
        <f aca="false">VLOOKUP(B41,'Certification Costs'!$A:$D,4,FALSE())</f>
        <v>1800</v>
      </c>
    </row>
    <row r="42" customFormat="false" ht="15" hidden="false" customHeight="false" outlineLevel="0" collapsed="false">
      <c r="A42" s="9" t="s">
        <v>142</v>
      </c>
      <c r="B42" s="9" t="s">
        <v>95</v>
      </c>
      <c r="C42" s="14" t="n">
        <f aca="false">VLOOKUP(B42,'Certification Costs'!$A:$D,3,FALSE())</f>
        <v>450</v>
      </c>
      <c r="D42" s="14" t="n">
        <f aca="false">VLOOKUP(B42,'Certification Costs'!$A:$D,4,FALSE())</f>
        <v>1500</v>
      </c>
    </row>
    <row r="43" customFormat="false" ht="15" hidden="false" customHeight="false" outlineLevel="0" collapsed="false">
      <c r="A43" s="9" t="s">
        <v>142</v>
      </c>
      <c r="B43" s="9" t="s">
        <v>67</v>
      </c>
      <c r="C43" s="14" t="n">
        <f aca="false">VLOOKUP(B43,'Certification Costs'!$A:$D,3,FALSE())</f>
        <v>999</v>
      </c>
      <c r="D43" s="14" t="n">
        <f aca="false">VLOOKUP(B43,'Certification Costs'!$A:$D,4,FALSE())</f>
        <v>9000</v>
      </c>
    </row>
    <row r="44" customFormat="false" ht="15" hidden="false" customHeight="false" outlineLevel="0" collapsed="false">
      <c r="A44" s="9" t="s">
        <v>143</v>
      </c>
      <c r="B44" s="9" t="s">
        <v>28</v>
      </c>
      <c r="C44" s="14" t="n">
        <f aca="false">VLOOKUP(B44,'Certification Costs'!$A:$D,3,FALSE())</f>
        <v>749</v>
      </c>
      <c r="D44" s="14" t="n">
        <f aca="false">VLOOKUP(B44,'Certification Costs'!$A:$D,4,FALSE())</f>
        <v>2500</v>
      </c>
    </row>
    <row r="45" customFormat="false" ht="15" hidden="false" customHeight="false" outlineLevel="0" collapsed="false">
      <c r="A45" s="9" t="s">
        <v>143</v>
      </c>
      <c r="B45" s="9" t="s">
        <v>32</v>
      </c>
      <c r="C45" s="14" t="n">
        <f aca="false">VLOOKUP(B45,'Certification Costs'!$A:$D,3,FALSE())</f>
        <v>760</v>
      </c>
      <c r="D45" s="14" t="n">
        <f aca="false">VLOOKUP(B45,'Certification Costs'!$A:$D,4,FALSE())</f>
        <v>1800</v>
      </c>
    </row>
    <row r="46" customFormat="false" ht="15" hidden="false" customHeight="false" outlineLevel="0" collapsed="false">
      <c r="A46" s="9" t="s">
        <v>143</v>
      </c>
      <c r="B46" s="9" t="s">
        <v>43</v>
      </c>
      <c r="C46" s="14" t="n">
        <f aca="false">VLOOKUP(B46,'Certification Costs'!$A:$D,3,FALSE())</f>
        <v>425</v>
      </c>
      <c r="D46" s="14" t="n">
        <f aca="false">VLOOKUP(B46,'Certification Costs'!$A:$D,4,FALSE())</f>
        <v>900</v>
      </c>
    </row>
    <row r="47" customFormat="false" ht="15" hidden="false" customHeight="false" outlineLevel="0" collapsed="false">
      <c r="A47" s="9" t="s">
        <v>143</v>
      </c>
      <c r="B47" s="9" t="s">
        <v>44</v>
      </c>
      <c r="C47" s="14" t="n">
        <f aca="false">VLOOKUP(B47,'Certification Costs'!$A:$D,3,FALSE())</f>
        <v>529</v>
      </c>
      <c r="D47" s="14" t="n">
        <f aca="false">VLOOKUP(B47,'Certification Costs'!$A:$D,4,FALSE())</f>
        <v>1200</v>
      </c>
    </row>
    <row r="48" customFormat="false" ht="15" hidden="false" customHeight="false" outlineLevel="0" collapsed="false">
      <c r="A48" s="9" t="s">
        <v>143</v>
      </c>
      <c r="B48" s="9" t="s">
        <v>98</v>
      </c>
      <c r="C48" s="14" t="n">
        <f aca="false">VLOOKUP(B48,'Certification Costs'!$A:$D,3,FALSE())</f>
        <v>450</v>
      </c>
      <c r="D48" s="14" t="n">
        <f aca="false">VLOOKUP(B48,'Certification Costs'!$A:$D,4,FALSE())</f>
        <v>1500</v>
      </c>
    </row>
    <row r="49" customFormat="false" ht="15" hidden="false" customHeight="false" outlineLevel="0" collapsed="false">
      <c r="A49" s="9" t="s">
        <v>143</v>
      </c>
      <c r="B49" s="9" t="s">
        <v>68</v>
      </c>
      <c r="C49" s="14" t="n">
        <f aca="false">VLOOKUP(B49,'Certification Costs'!$A:$D,3,FALSE())</f>
        <v>999</v>
      </c>
      <c r="D49" s="14" t="n">
        <f aca="false">VLOOKUP(B49,'Certification Costs'!$A:$D,4,FALSE())</f>
        <v>9000</v>
      </c>
    </row>
    <row r="50" customFormat="false" ht="15" hidden="false" customHeight="false" outlineLevel="0" collapsed="false">
      <c r="A50" s="9" t="s">
        <v>143</v>
      </c>
      <c r="B50" s="9" t="s">
        <v>69</v>
      </c>
      <c r="C50" s="14" t="n">
        <f aca="false">VLOOKUP(B50,'Certification Costs'!$A:$D,3,FALSE())</f>
        <v>999</v>
      </c>
      <c r="D50" s="14" t="n">
        <f aca="false">VLOOKUP(B50,'Certification Costs'!$A:$D,4,FALSE())</f>
        <v>9000</v>
      </c>
    </row>
    <row r="51" customFormat="false" ht="15" hidden="false" customHeight="false" outlineLevel="0" collapsed="false">
      <c r="A51" s="9" t="s">
        <v>144</v>
      </c>
      <c r="B51" s="9" t="s">
        <v>28</v>
      </c>
      <c r="C51" s="14" t="n">
        <f aca="false">VLOOKUP(B51,'Certification Costs'!$A:$D,3,FALSE())</f>
        <v>749</v>
      </c>
      <c r="D51" s="14" t="n">
        <f aca="false">VLOOKUP(B51,'Certification Costs'!$A:$D,4,FALSE())</f>
        <v>2500</v>
      </c>
    </row>
    <row r="52" customFormat="false" ht="15" hidden="false" customHeight="false" outlineLevel="0" collapsed="false">
      <c r="A52" s="9" t="s">
        <v>144</v>
      </c>
      <c r="B52" s="9" t="s">
        <v>32</v>
      </c>
      <c r="C52" s="14" t="n">
        <f aca="false">VLOOKUP(B52,'Certification Costs'!$A:$D,3,FALSE())</f>
        <v>760</v>
      </c>
      <c r="D52" s="14" t="n">
        <f aca="false">VLOOKUP(B52,'Certification Costs'!$A:$D,4,FALSE())</f>
        <v>1800</v>
      </c>
    </row>
    <row r="53" customFormat="false" ht="15" hidden="false" customHeight="false" outlineLevel="0" collapsed="false">
      <c r="A53" s="9" t="s">
        <v>144</v>
      </c>
      <c r="B53" s="9" t="s">
        <v>60</v>
      </c>
      <c r="C53" s="14" t="n">
        <f aca="false">VLOOKUP(B53,'Certification Costs'!$A:$D,3,FALSE())</f>
        <v>999</v>
      </c>
      <c r="D53" s="14" t="n">
        <f aca="false">VLOOKUP(B53,'Certification Costs'!$A:$D,4,FALSE())</f>
        <v>9000</v>
      </c>
    </row>
    <row r="54" customFormat="false" ht="15" hidden="false" customHeight="false" outlineLevel="0" collapsed="false">
      <c r="A54" s="9" t="s">
        <v>144</v>
      </c>
      <c r="B54" s="9" t="s">
        <v>70</v>
      </c>
      <c r="C54" s="14" t="n">
        <f aca="false">VLOOKUP(B54,'Certification Costs'!$A:$D,3,FALSE())</f>
        <v>999</v>
      </c>
      <c r="D54" s="14" t="n">
        <f aca="false">VLOOKUP(B54,'Certification Costs'!$A:$D,4,FALSE())</f>
        <v>9000</v>
      </c>
    </row>
    <row r="55" customFormat="false" ht="15" hidden="false" customHeight="false" outlineLevel="0" collapsed="false">
      <c r="A55" s="9" t="s">
        <v>144</v>
      </c>
      <c r="B55" s="9" t="s">
        <v>55</v>
      </c>
      <c r="C55" s="14" t="n">
        <f aca="false">VLOOKUP(B55,'Certification Costs'!$A:$D,3,FALSE())</f>
        <v>450</v>
      </c>
      <c r="D55" s="14" t="n">
        <f aca="false">VLOOKUP(B55,'Certification Costs'!$A:$D,4,FALSE())</f>
        <v>2000</v>
      </c>
    </row>
    <row r="56" customFormat="false" ht="15" hidden="false" customHeight="false" outlineLevel="0" collapsed="false">
      <c r="A56" s="9" t="s">
        <v>145</v>
      </c>
      <c r="B56" s="9" t="s">
        <v>28</v>
      </c>
      <c r="C56" s="14" t="n">
        <f aca="false">VLOOKUP(B56,'Certification Costs'!$A:$D,3,FALSE())</f>
        <v>749</v>
      </c>
      <c r="D56" s="14" t="n">
        <f aca="false">VLOOKUP(B56,'Certification Costs'!$A:$D,4,FALSE())</f>
        <v>2500</v>
      </c>
    </row>
    <row r="57" customFormat="false" ht="15" hidden="false" customHeight="false" outlineLevel="0" collapsed="false">
      <c r="A57" s="9" t="s">
        <v>145</v>
      </c>
      <c r="B57" s="9" t="s">
        <v>38</v>
      </c>
      <c r="C57" s="14" t="n">
        <f aca="false">VLOOKUP(B57,'Certification Costs'!$A:$D,3,FALSE())</f>
        <v>425</v>
      </c>
      <c r="D57" s="14" t="n">
        <f aca="false">VLOOKUP(B57,'Certification Costs'!$A:$D,4,FALSE())</f>
        <v>900</v>
      </c>
    </row>
    <row r="58" customFormat="false" ht="15" hidden="false" customHeight="false" outlineLevel="0" collapsed="false">
      <c r="A58" s="9" t="s">
        <v>145</v>
      </c>
      <c r="B58" s="9" t="s">
        <v>50</v>
      </c>
      <c r="C58" s="14" t="n">
        <f aca="false">VLOOKUP(B58,'Certification Costs'!$A:$D,3,FALSE())</f>
        <v>1199</v>
      </c>
      <c r="D58" s="14" t="n">
        <f aca="false">VLOOKUP(B58,'Certification Costs'!$A:$D,4,FALSE())</f>
        <v>3000</v>
      </c>
    </row>
    <row r="59" customFormat="false" ht="15" hidden="false" customHeight="false" outlineLevel="0" collapsed="false">
      <c r="A59" s="9" t="s">
        <v>145</v>
      </c>
      <c r="B59" s="9" t="s">
        <v>60</v>
      </c>
      <c r="C59" s="14" t="n">
        <f aca="false">VLOOKUP(B59,'Certification Costs'!$A:$D,3,FALSE())</f>
        <v>999</v>
      </c>
      <c r="D59" s="14" t="n">
        <f aca="false">VLOOKUP(B59,'Certification Costs'!$A:$D,4,FALSE())</f>
        <v>9000</v>
      </c>
    </row>
    <row r="60" customFormat="false" ht="15" hidden="false" customHeight="false" outlineLevel="0" collapsed="false">
      <c r="A60" s="9" t="s">
        <v>146</v>
      </c>
      <c r="B60" s="9" t="s">
        <v>38</v>
      </c>
      <c r="C60" s="14" t="n">
        <f aca="false">VLOOKUP(B60,'Certification Costs'!$A:$D,3,FALSE())</f>
        <v>425</v>
      </c>
      <c r="D60" s="14" t="n">
        <f aca="false">VLOOKUP(B60,'Certification Costs'!$A:$D,4,FALSE())</f>
        <v>900</v>
      </c>
    </row>
    <row r="61" customFormat="false" ht="15" hidden="false" customHeight="false" outlineLevel="0" collapsed="false">
      <c r="A61" s="9" t="s">
        <v>146</v>
      </c>
      <c r="B61" s="9" t="s">
        <v>76</v>
      </c>
      <c r="C61" s="14" t="n">
        <f aca="false">VLOOKUP(B61,'Certification Costs'!$A:$D,3,FALSE())</f>
        <v>300</v>
      </c>
      <c r="D61" s="14" t="n">
        <f aca="false">VLOOKUP(B61,'Certification Costs'!$A:$D,4,FALSE())</f>
        <v>800</v>
      </c>
    </row>
    <row r="62" customFormat="false" ht="15" hidden="false" customHeight="false" outlineLevel="0" collapsed="false">
      <c r="A62" s="9" t="s">
        <v>147</v>
      </c>
      <c r="B62" s="9" t="s">
        <v>38</v>
      </c>
      <c r="C62" s="14" t="n">
        <f aca="false">VLOOKUP(B62,'Certification Costs'!$A:$D,3,FALSE())</f>
        <v>425</v>
      </c>
      <c r="D62" s="14" t="n">
        <f aca="false">VLOOKUP(B62,'Certification Costs'!$A:$D,4,FALSE())</f>
        <v>900</v>
      </c>
    </row>
    <row r="63" customFormat="false" ht="15" hidden="false" customHeight="false" outlineLevel="0" collapsed="false">
      <c r="A63" s="9" t="s">
        <v>147</v>
      </c>
      <c r="B63" s="9" t="s">
        <v>85</v>
      </c>
      <c r="C63" s="14" t="n">
        <f aca="false">VLOOKUP(B63,'Certification Costs'!$A:$D,3,FALSE())</f>
        <v>249</v>
      </c>
      <c r="D63" s="14" t="n">
        <f aca="false">VLOOKUP(B63,'Certification Costs'!$A:$D,4,FALSE())</f>
        <v>900</v>
      </c>
    </row>
    <row r="64" customFormat="false" ht="15" hidden="false" customHeight="false" outlineLevel="0" collapsed="false">
      <c r="A64" s="9" t="s">
        <v>147</v>
      </c>
      <c r="B64" s="9" t="s">
        <v>28</v>
      </c>
      <c r="C64" s="14" t="n">
        <f aca="false">VLOOKUP(B64,'Certification Costs'!$A:$D,3,FALSE())</f>
        <v>749</v>
      </c>
      <c r="D64" s="14" t="n">
        <f aca="false">VLOOKUP(B64,'Certification Costs'!$A:$D,4,FALSE())</f>
        <v>2500</v>
      </c>
    </row>
    <row r="65" customFormat="false" ht="15" hidden="false" customHeight="false" outlineLevel="0" collapsed="false">
      <c r="A65" s="9" t="s">
        <v>148</v>
      </c>
      <c r="B65" s="9" t="s">
        <v>71</v>
      </c>
      <c r="C65" s="14" t="n">
        <f aca="false">VLOOKUP(B65,'Certification Costs'!$A:$D,3,FALSE())</f>
        <v>999</v>
      </c>
      <c r="D65" s="14" t="n">
        <f aca="false">VLOOKUP(B65,'Certification Costs'!$A:$D,4,FALSE())</f>
        <v>9000</v>
      </c>
    </row>
    <row r="66" customFormat="false" ht="15" hidden="false" customHeight="false" outlineLevel="0" collapsed="false">
      <c r="A66" s="9" t="s">
        <v>148</v>
      </c>
      <c r="B66" s="9" t="s">
        <v>103</v>
      </c>
      <c r="C66" s="14" t="n">
        <f aca="false">VLOOKUP(B66,'Certification Costs'!$A:$D,3,FALSE())</f>
        <v>485</v>
      </c>
      <c r="D66" s="14" t="n">
        <f aca="false">VLOOKUP(B66,'Certification Costs'!$A:$D,4,FALSE())</f>
        <v>1500</v>
      </c>
    </row>
    <row r="67" customFormat="false" ht="15" hidden="false" customHeight="false" outlineLevel="0" collapsed="false">
      <c r="A67" s="9" t="s">
        <v>148</v>
      </c>
      <c r="B67" s="9" t="s">
        <v>106</v>
      </c>
      <c r="C67" s="14" t="n">
        <f aca="false">VLOOKUP(B67,'Certification Costs'!$A:$D,3,FALSE())</f>
        <v>200</v>
      </c>
      <c r="D67" s="14" t="n">
        <f aca="false">VLOOKUP(B67,'Certification Costs'!$A:$D,4,FALSE())</f>
        <v>3000</v>
      </c>
    </row>
    <row r="68" customFormat="false" ht="15" hidden="false" customHeight="false" outlineLevel="0" collapsed="false">
      <c r="A68" s="9" t="s">
        <v>149</v>
      </c>
      <c r="B68" s="9" t="s">
        <v>46</v>
      </c>
      <c r="C68" s="14" t="n">
        <f aca="false">VLOOKUP(B68,'Certification Costs'!$A:$D,3,FALSE())</f>
        <v>599</v>
      </c>
      <c r="D68" s="14" t="n">
        <f aca="false">VLOOKUP(B68,'Certification Costs'!$A:$D,4,FALSE())</f>
        <v>2000</v>
      </c>
    </row>
    <row r="69" customFormat="false" ht="15" hidden="false" customHeight="false" outlineLevel="0" collapsed="false">
      <c r="A69" s="9" t="s">
        <v>150</v>
      </c>
      <c r="B69" s="9" t="s">
        <v>72</v>
      </c>
      <c r="C69" s="14" t="n">
        <f aca="false">VLOOKUP(B69,'Certification Costs'!$A:$D,3,FALSE())</f>
        <v>999</v>
      </c>
      <c r="D69" s="14" t="n">
        <f aca="false">VLOOKUP(B69,'Certification Costs'!$A:$D,4,FALSE())</f>
        <v>9000</v>
      </c>
    </row>
    <row r="70" customFormat="false" ht="15" hidden="false" customHeight="false" outlineLevel="0" collapsed="false">
      <c r="A70" s="9" t="s">
        <v>150</v>
      </c>
      <c r="B70" s="9" t="s">
        <v>109</v>
      </c>
      <c r="C70" s="14" t="n">
        <f aca="false">VLOOKUP(B70,'Certification Costs'!$A:$D,3,FALSE())</f>
        <v>500</v>
      </c>
      <c r="D70" s="14" t="n">
        <f aca="false">VLOOKUP(B70,'Certification Costs'!$A:$D,4,FALSE())</f>
        <v>3000</v>
      </c>
    </row>
    <row r="71" customFormat="false" ht="15" hidden="false" customHeight="false" outlineLevel="0" collapsed="false">
      <c r="A71" s="9" t="s">
        <v>150</v>
      </c>
      <c r="B71" s="9" t="s">
        <v>112</v>
      </c>
      <c r="C71" s="14" t="n">
        <f aca="false">VLOOKUP(B71,'Certification Costs'!$A:$D,3,FALSE())</f>
        <v>500</v>
      </c>
      <c r="D71" s="14" t="n">
        <f aca="false">VLOOKUP(B71,'Certification Costs'!$A:$D,4,FALSE())</f>
        <v>3000</v>
      </c>
    </row>
    <row r="72" customFormat="false" ht="15" hidden="false" customHeight="false" outlineLevel="0" collapsed="false">
      <c r="A72" s="9" t="s">
        <v>150</v>
      </c>
      <c r="B72" s="9" t="s">
        <v>58</v>
      </c>
      <c r="C72" s="14" t="n">
        <f aca="false">VLOOKUP(B72,'Certification Costs'!$A:$D,3,FALSE())</f>
        <v>450</v>
      </c>
      <c r="D72" s="14" t="n">
        <f aca="false">VLOOKUP(B72,'Certification Costs'!$A:$D,4,FALSE())</f>
        <v>2000</v>
      </c>
    </row>
    <row r="73" customFormat="false" ht="15" hidden="false" customHeight="false" outlineLevel="0" collapsed="false">
      <c r="A73" s="9" t="s">
        <v>151</v>
      </c>
      <c r="B73" s="9" t="s">
        <v>50</v>
      </c>
      <c r="C73" s="14" t="n">
        <f aca="false">VLOOKUP(B73,'Certification Costs'!$A:$D,3,FALSE())</f>
        <v>1199</v>
      </c>
      <c r="D73" s="14" t="n">
        <f aca="false">VLOOKUP(B73,'Certification Costs'!$A:$D,4,FALSE())</f>
        <v>3000</v>
      </c>
    </row>
    <row r="74" customFormat="false" ht="15" hidden="false" customHeight="false" outlineLevel="0" collapsed="false">
      <c r="A74" s="9" t="s">
        <v>151</v>
      </c>
      <c r="B74" s="9" t="s">
        <v>37</v>
      </c>
      <c r="C74" s="14" t="n">
        <f aca="false">VLOOKUP(B74,'Certification Costs'!$A:$D,3,FALSE())</f>
        <v>760</v>
      </c>
      <c r="D74" s="14" t="n">
        <f aca="false">VLOOKUP(B74,'Certification Costs'!$A:$D,4,FALSE())</f>
        <v>1600</v>
      </c>
    </row>
    <row r="75" customFormat="false" ht="15" hidden="false" customHeight="false" outlineLevel="0" collapsed="false">
      <c r="A75" s="9" t="s">
        <v>151</v>
      </c>
      <c r="B75" s="9" t="s">
        <v>114</v>
      </c>
      <c r="C75" s="14" t="n">
        <f aca="false">VLOOKUP(B75,'Certification Costs'!$A:$D,3,FALSE())</f>
        <v>500</v>
      </c>
      <c r="D75" s="14" t="n">
        <f aca="false">VLOOKUP(B75,'Certification Costs'!$A:$D,4,FALSE())</f>
        <v>1000</v>
      </c>
    </row>
    <row r="76" customFormat="false" ht="15" hidden="false" customHeight="false" outlineLevel="0" collapsed="false">
      <c r="A76" s="9" t="s">
        <v>151</v>
      </c>
      <c r="B76" s="9" t="s">
        <v>118</v>
      </c>
      <c r="C76" s="14" t="n">
        <f aca="false">VLOOKUP(B76,'Certification Costs'!$A:$D,3,FALSE())</f>
        <v>400</v>
      </c>
      <c r="D76" s="14" t="n">
        <f aca="false">VLOOKUP(B76,'Certification Costs'!$A:$D,4,FALSE())</f>
        <v>800</v>
      </c>
    </row>
    <row r="77" customFormat="false" ht="15" hidden="false" customHeight="false" outlineLevel="0" collapsed="false">
      <c r="A77" s="9" t="s">
        <v>152</v>
      </c>
      <c r="B77" s="9" t="s">
        <v>119</v>
      </c>
      <c r="C77" s="14" t="n">
        <f aca="false">VLOOKUP(B77,'Certification Costs'!$A:$D,3,FALSE())</f>
        <v>550</v>
      </c>
      <c r="D77" s="14" t="n">
        <f aca="false">VLOOKUP(B77,'Certification Costs'!$A:$D,4,FALSE())</f>
        <v>1200</v>
      </c>
    </row>
    <row r="78" customFormat="false" ht="15" hidden="false" customHeight="false" outlineLevel="0" collapsed="false">
      <c r="A78" s="9" t="s">
        <v>152</v>
      </c>
      <c r="B78" s="9" t="s">
        <v>122</v>
      </c>
      <c r="C78" s="14" t="n">
        <f aca="false">VLOOKUP(B78,'Certification Costs'!$A:$D,3,FALSE())</f>
        <v>550</v>
      </c>
      <c r="D78" s="14" t="n">
        <f aca="false">VLOOKUP(B78,'Certification Costs'!$A:$D,4,FALSE())</f>
        <v>1200</v>
      </c>
    </row>
    <row r="79" customFormat="false" ht="15" hidden="false" customHeight="false" outlineLevel="0" collapsed="false">
      <c r="A79" s="9" t="s">
        <v>152</v>
      </c>
      <c r="B79" s="9" t="s">
        <v>125</v>
      </c>
      <c r="C79" s="14" t="n">
        <f aca="false">VLOOKUP(B79,'Certification Costs'!$A:$D,3,FALSE())</f>
        <v>1000</v>
      </c>
      <c r="D79" s="14" t="n">
        <f aca="false">VLOOKUP(B79,'Certification Costs'!$A:$D,4,FALSE())</f>
        <v>1500</v>
      </c>
    </row>
    <row r="80" customFormat="false" ht="15" hidden="false" customHeight="false" outlineLevel="0" collapsed="false">
      <c r="A80" s="9" t="s">
        <v>152</v>
      </c>
      <c r="B80" s="9" t="s">
        <v>124</v>
      </c>
      <c r="C80" s="14" t="n">
        <f aca="false">VLOOKUP(B80,'Certification Costs'!$A:$D,3,FALSE())</f>
        <v>550</v>
      </c>
      <c r="D80" s="14" t="n">
        <f aca="false">VLOOKUP(B80,'Certification Costs'!$A:$D,4,FALSE())</f>
        <v>1200</v>
      </c>
    </row>
    <row r="81" customFormat="false" ht="15" hidden="false" customHeight="false" outlineLevel="0" collapsed="false">
      <c r="A81" s="9" t="s">
        <v>153</v>
      </c>
      <c r="B81" s="9" t="s">
        <v>119</v>
      </c>
      <c r="C81" s="14" t="n">
        <f aca="false">VLOOKUP(B81,'Certification Costs'!$A:$D,3,FALSE())</f>
        <v>550</v>
      </c>
      <c r="D81" s="14" t="n">
        <f aca="false">VLOOKUP(B81,'Certification Costs'!$A:$D,4,FALSE())</f>
        <v>1200</v>
      </c>
    </row>
    <row r="82" customFormat="false" ht="15" hidden="false" customHeight="false" outlineLevel="0" collapsed="false">
      <c r="A82" s="9" t="s">
        <v>153</v>
      </c>
      <c r="B82" s="9" t="s">
        <v>122</v>
      </c>
      <c r="C82" s="14" t="n">
        <f aca="false">VLOOKUP(B82,'Certification Costs'!$A:$D,3,FALSE())</f>
        <v>550</v>
      </c>
      <c r="D82" s="14" t="n">
        <f aca="false">VLOOKUP(B82,'Certification Costs'!$A:$D,4,FALSE())</f>
        <v>1200</v>
      </c>
    </row>
    <row r="83" customFormat="false" ht="15" hidden="false" customHeight="false" outlineLevel="0" collapsed="false">
      <c r="A83" s="9" t="s">
        <v>153</v>
      </c>
      <c r="B83" s="9" t="s">
        <v>125</v>
      </c>
      <c r="C83" s="14" t="n">
        <f aca="false">VLOOKUP(B83,'Certification Costs'!$A:$D,3,FALSE())</f>
        <v>1000</v>
      </c>
      <c r="D83" s="14" t="n">
        <f aca="false">VLOOKUP(B83,'Certification Costs'!$A:$D,4,FALSE())</f>
        <v>1500</v>
      </c>
    </row>
    <row r="84" customFormat="false" ht="15" hidden="false" customHeight="false" outlineLevel="0" collapsed="false">
      <c r="A84" s="9" t="s">
        <v>153</v>
      </c>
      <c r="B84" s="9" t="s">
        <v>124</v>
      </c>
      <c r="C84" s="14" t="n">
        <f aca="false">VLOOKUP(B84,'Certification Costs'!$A:$D,3,FALSE())</f>
        <v>550</v>
      </c>
      <c r="D84" s="14" t="n">
        <f aca="false">VLOOKUP(B84,'Certification Costs'!$A:$D,4,FALSE())</f>
        <v>1200</v>
      </c>
    </row>
    <row r="85" customFormat="false" ht="15" hidden="false" customHeight="false" outlineLevel="0" collapsed="false">
      <c r="A85" s="9" t="s">
        <v>153</v>
      </c>
      <c r="B85" s="9" t="s">
        <v>128</v>
      </c>
      <c r="C85" s="14" t="n">
        <f aca="false">VLOOKUP(B85,'Certification Costs'!$A:$D,3,FALSE())</f>
        <v>1000</v>
      </c>
      <c r="D85" s="14" t="n">
        <f aca="false">VLOOKUP(B85,'Certification Costs'!$A:$D,4,FALSE())</f>
        <v>1500</v>
      </c>
    </row>
    <row r="86" customFormat="false" ht="15" hidden="false" customHeight="false" outlineLevel="0" collapsed="false">
      <c r="A86" s="9" t="s">
        <v>154</v>
      </c>
      <c r="B86" s="9" t="s">
        <v>119</v>
      </c>
      <c r="C86" s="14" t="n">
        <f aca="false">VLOOKUP(B86,'Certification Costs'!$A:$D,3,FALSE())</f>
        <v>550</v>
      </c>
      <c r="D86" s="14" t="n">
        <f aca="false">VLOOKUP(B86,'Certification Costs'!$A:$D,4,FALSE())</f>
        <v>1200</v>
      </c>
    </row>
    <row r="87" customFormat="false" ht="15" hidden="false" customHeight="false" outlineLevel="0" collapsed="false">
      <c r="A87" s="9" t="s">
        <v>154</v>
      </c>
      <c r="B87" s="9" t="s">
        <v>122</v>
      </c>
      <c r="C87" s="14" t="n">
        <f aca="false">VLOOKUP(B87,'Certification Costs'!$A:$D,3,FALSE())</f>
        <v>550</v>
      </c>
      <c r="D87" s="14" t="n">
        <f aca="false">VLOOKUP(B87,'Certification Costs'!$A:$D,4,FALSE())</f>
        <v>1200</v>
      </c>
    </row>
    <row r="88" customFormat="false" ht="15" hidden="false" customHeight="false" outlineLevel="0" collapsed="false">
      <c r="A88" s="9" t="s">
        <v>154</v>
      </c>
      <c r="B88" s="9" t="s">
        <v>125</v>
      </c>
      <c r="C88" s="14" t="n">
        <f aca="false">VLOOKUP(B88,'Certification Costs'!$A:$D,3,FALSE())</f>
        <v>1000</v>
      </c>
      <c r="D88" s="14" t="n">
        <f aca="false">VLOOKUP(B88,'Certification Costs'!$A:$D,4,FALSE())</f>
        <v>1500</v>
      </c>
    </row>
    <row r="89" customFormat="false" ht="15" hidden="false" customHeight="false" outlineLevel="0" collapsed="false">
      <c r="A89" s="9" t="s">
        <v>154</v>
      </c>
      <c r="B89" s="9" t="s">
        <v>124</v>
      </c>
      <c r="C89" s="14" t="n">
        <f aca="false">VLOOKUP(B89,'Certification Costs'!$A:$D,3,FALSE())</f>
        <v>550</v>
      </c>
      <c r="D89" s="14" t="n">
        <f aca="false">VLOOKUP(B89,'Certification Costs'!$A:$D,4,FALSE())</f>
        <v>1200</v>
      </c>
    </row>
    <row r="90" customFormat="false" ht="15" hidden="false" customHeight="false" outlineLevel="0" collapsed="false">
      <c r="A90" s="9" t="s">
        <v>154</v>
      </c>
      <c r="B90" s="9" t="s">
        <v>128</v>
      </c>
      <c r="C90" s="14" t="n">
        <f aca="false">VLOOKUP(B90,'Certification Costs'!$A:$D,3,FALSE())</f>
        <v>1000</v>
      </c>
      <c r="D90" s="14" t="n">
        <f aca="false">VLOOKUP(B90,'Certification Costs'!$A:$D,4,FALSE())</f>
        <v>1500</v>
      </c>
    </row>
    <row r="91" customFormat="false" ht="15" hidden="false" customHeight="false" outlineLevel="0" collapsed="false">
      <c r="A91" s="9" t="s">
        <v>155</v>
      </c>
      <c r="B91" s="9" t="s">
        <v>119</v>
      </c>
      <c r="C91" s="14" t="n">
        <f aca="false">VLOOKUP(B91,'Certification Costs'!$A:$D,3,FALSE())</f>
        <v>550</v>
      </c>
      <c r="D91" s="14" t="n">
        <f aca="false">VLOOKUP(B91,'Certification Costs'!$A:$D,4,FALSE())</f>
        <v>1200</v>
      </c>
    </row>
    <row r="92" customFormat="false" ht="15" hidden="false" customHeight="false" outlineLevel="0" collapsed="false">
      <c r="A92" s="9" t="s">
        <v>155</v>
      </c>
      <c r="B92" s="9" t="s">
        <v>122</v>
      </c>
      <c r="C92" s="14" t="n">
        <f aca="false">VLOOKUP(B92,'Certification Costs'!$A:$D,3,FALSE())</f>
        <v>550</v>
      </c>
      <c r="D92" s="14" t="n">
        <f aca="false">VLOOKUP(B92,'Certification Costs'!$A:$D,4,FALSE())</f>
        <v>1200</v>
      </c>
    </row>
    <row r="93" customFormat="false" ht="15" hidden="false" customHeight="false" outlineLevel="0" collapsed="false">
      <c r="A93" s="9" t="s">
        <v>155</v>
      </c>
      <c r="B93" s="9" t="s">
        <v>125</v>
      </c>
      <c r="C93" s="14" t="n">
        <f aca="false">VLOOKUP(B93,'Certification Costs'!$A:$D,3,FALSE())</f>
        <v>1000</v>
      </c>
      <c r="D93" s="14" t="n">
        <f aca="false">VLOOKUP(B93,'Certification Costs'!$A:$D,4,FALSE())</f>
        <v>1500</v>
      </c>
    </row>
    <row r="94" customFormat="false" ht="15" hidden="false" customHeight="false" outlineLevel="0" collapsed="false">
      <c r="A94" s="9" t="s">
        <v>155</v>
      </c>
      <c r="B94" s="9" t="s">
        <v>124</v>
      </c>
      <c r="C94" s="14" t="n">
        <f aca="false">VLOOKUP(B94,'Certification Costs'!$A:$D,3,FALSE())</f>
        <v>550</v>
      </c>
      <c r="D94" s="14" t="n">
        <f aca="false">VLOOKUP(B94,'Certification Costs'!$A:$D,4,FALSE())</f>
        <v>1200</v>
      </c>
    </row>
    <row r="95" customFormat="false" ht="15" hidden="false" customHeight="false" outlineLevel="0" collapsed="false">
      <c r="A95" s="9" t="s">
        <v>155</v>
      </c>
      <c r="B95" s="9" t="s">
        <v>128</v>
      </c>
      <c r="C95" s="14" t="n">
        <f aca="false">VLOOKUP(B95,'Certification Costs'!$A:$D,3,FALSE())</f>
        <v>1000</v>
      </c>
      <c r="D95" s="14" t="n">
        <f aca="false">VLOOKUP(B95,'Certification Costs'!$A:$D,4,FALSE())</f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5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52.2" hidden="false" customHeight="false" outlineLevel="0" collapsed="false">
      <c r="A1" s="6" t="s">
        <v>131</v>
      </c>
      <c r="B1" s="6" t="s">
        <v>156</v>
      </c>
      <c r="C1" s="7" t="s">
        <v>157</v>
      </c>
      <c r="D1" s="7" t="s">
        <v>158</v>
      </c>
      <c r="E1" s="7" t="s">
        <v>159</v>
      </c>
      <c r="F1" s="6" t="s">
        <v>160</v>
      </c>
      <c r="G1" s="7" t="s">
        <v>161</v>
      </c>
      <c r="H1" s="7" t="s">
        <v>162</v>
      </c>
    </row>
    <row r="2" customFormat="false" ht="15" hidden="false" customHeight="false" outlineLevel="0" collapsed="false">
      <c r="A2" s="8" t="s">
        <v>132</v>
      </c>
      <c r="B2" s="12" t="s">
        <v>163</v>
      </c>
      <c r="C2" s="15" t="n">
        <f aca="false">COUNTIF('Role–Cert Detail'!$A:$A,A2)</f>
        <v>3</v>
      </c>
      <c r="D2" s="16" t="n">
        <f aca="false">SUMIF('Role–Cert Detail'!$A:$A,A2,'Role–Cert Detail'!$C:$C)</f>
        <v>2508</v>
      </c>
      <c r="E2" s="16" t="n">
        <f aca="false">SUMIF('Role–Cert Detail'!$A:$A,A2,'Role–Cert Detail'!$D:$D)</f>
        <v>13300</v>
      </c>
      <c r="F2" s="9" t="s">
        <v>28</v>
      </c>
      <c r="G2" s="14" t="n">
        <f aca="false">VLOOKUP(F2,'Certification Costs'!$A:$D,3,FALSE())</f>
        <v>749</v>
      </c>
      <c r="H2" s="14" t="n">
        <f aca="false">VLOOKUP(F2,'Certification Costs'!$A:$D,4,FALSE())</f>
        <v>2500</v>
      </c>
    </row>
    <row r="3" customFormat="false" ht="15" hidden="false" customHeight="false" outlineLevel="0" collapsed="false">
      <c r="A3" s="8" t="s">
        <v>133</v>
      </c>
      <c r="B3" s="12" t="s">
        <v>164</v>
      </c>
      <c r="C3" s="15" t="n">
        <f aca="false">COUNTIF('Role–Cert Detail'!$A:$A,A3)</f>
        <v>3</v>
      </c>
      <c r="D3" s="16" t="n">
        <f aca="false">SUMIF('Role–Cert Detail'!$A:$A,A3,'Role–Cert Detail'!$C:$C)</f>
        <v>1934</v>
      </c>
      <c r="E3" s="16" t="n">
        <f aca="false">SUMIF('Role–Cert Detail'!$A:$A,A3,'Role–Cert Detail'!$D:$D)</f>
        <v>5200</v>
      </c>
      <c r="F3" s="9" t="s">
        <v>32</v>
      </c>
      <c r="G3" s="14" t="n">
        <f aca="false">VLOOKUP(F3,'Certification Costs'!$A:$D,3,FALSE())</f>
        <v>760</v>
      </c>
      <c r="H3" s="14" t="n">
        <f aca="false">VLOOKUP(F3,'Certification Costs'!$A:$D,4,FALSE())</f>
        <v>1800</v>
      </c>
    </row>
    <row r="4" customFormat="false" ht="15" hidden="false" customHeight="false" outlineLevel="0" collapsed="false">
      <c r="A4" s="8" t="s">
        <v>134</v>
      </c>
      <c r="B4" s="12" t="s">
        <v>165</v>
      </c>
      <c r="C4" s="15" t="n">
        <f aca="false">COUNTIF('Role–Cert Detail'!$A:$A,A4)</f>
        <v>4</v>
      </c>
      <c r="D4" s="16" t="n">
        <f aca="false">SUMIF('Role–Cert Detail'!$A:$A,A4,'Role–Cert Detail'!$C:$C)</f>
        <v>3707</v>
      </c>
      <c r="E4" s="16" t="n">
        <f aca="false">SUMIF('Role–Cert Detail'!$A:$A,A4,'Role–Cert Detail'!$D:$D)</f>
        <v>16300</v>
      </c>
      <c r="F4" s="9" t="s">
        <v>28</v>
      </c>
      <c r="G4" s="14" t="n">
        <f aca="false">VLOOKUP(F4,'Certification Costs'!$A:$D,3,FALSE())</f>
        <v>749</v>
      </c>
      <c r="H4" s="14" t="n">
        <f aca="false">VLOOKUP(F4,'Certification Costs'!$A:$D,4,FALSE())</f>
        <v>2500</v>
      </c>
    </row>
    <row r="5" customFormat="false" ht="15" hidden="false" customHeight="false" outlineLevel="0" collapsed="false">
      <c r="A5" s="8" t="s">
        <v>135</v>
      </c>
      <c r="B5" s="12" t="s">
        <v>166</v>
      </c>
      <c r="C5" s="15" t="n">
        <f aca="false">COUNTIF('Role–Cert Detail'!$A:$A,A5)</f>
        <v>5</v>
      </c>
      <c r="D5" s="16" t="n">
        <f aca="false">SUMIF('Role–Cert Detail'!$A:$A,A5,'Role–Cert Detail'!$C:$C)</f>
        <v>3863</v>
      </c>
      <c r="E5" s="16" t="n">
        <f aca="false">SUMIF('Role–Cert Detail'!$A:$A,A5,'Role–Cert Detail'!$D:$D)</f>
        <v>16300</v>
      </c>
      <c r="F5" s="9" t="s">
        <v>37</v>
      </c>
      <c r="G5" s="14" t="n">
        <f aca="false">VLOOKUP(F5,'Certification Costs'!$A:$D,3,FALSE())</f>
        <v>760</v>
      </c>
      <c r="H5" s="14" t="n">
        <f aca="false">VLOOKUP(F5,'Certification Costs'!$A:$D,4,FALSE())</f>
        <v>1600</v>
      </c>
    </row>
    <row r="6" customFormat="false" ht="22.35" hidden="false" customHeight="false" outlineLevel="0" collapsed="false">
      <c r="A6" s="8" t="s">
        <v>136</v>
      </c>
      <c r="B6" s="12" t="s">
        <v>167</v>
      </c>
      <c r="C6" s="15" t="n">
        <f aca="false">COUNTIF('Role–Cert Detail'!$A:$A,A6)</f>
        <v>5</v>
      </c>
      <c r="D6" s="16" t="n">
        <f aca="false">SUMIF('Role–Cert Detail'!$A:$A,A6,'Role–Cert Detail'!$C:$C)</f>
        <v>3286</v>
      </c>
      <c r="E6" s="16" t="n">
        <f aca="false">SUMIF('Role–Cert Detail'!$A:$A,A6,'Role–Cert Detail'!$D:$D)</f>
        <v>15400</v>
      </c>
      <c r="F6" s="9" t="s">
        <v>28</v>
      </c>
      <c r="G6" s="14" t="n">
        <f aca="false">VLOOKUP(F6,'Certification Costs'!$A:$D,3,FALSE())</f>
        <v>749</v>
      </c>
      <c r="H6" s="14" t="n">
        <f aca="false">VLOOKUP(F6,'Certification Costs'!$A:$D,4,FALSE())</f>
        <v>2500</v>
      </c>
    </row>
    <row r="7" customFormat="false" ht="15" hidden="false" customHeight="false" outlineLevel="0" collapsed="false">
      <c r="A7" s="8" t="s">
        <v>137</v>
      </c>
      <c r="B7" s="12" t="s">
        <v>168</v>
      </c>
      <c r="C7" s="15" t="n">
        <f aca="false">COUNTIF('Role–Cert Detail'!$A:$A,A7)</f>
        <v>2</v>
      </c>
      <c r="D7" s="16" t="n">
        <f aca="false">SUMIF('Role–Cert Detail'!$A:$A,A7,'Role–Cert Detail'!$C:$C)</f>
        <v>675</v>
      </c>
      <c r="E7" s="16" t="n">
        <f aca="false">SUMIF('Role–Cert Detail'!$A:$A,A7,'Role–Cert Detail'!$D:$D)</f>
        <v>1700</v>
      </c>
      <c r="F7" s="9" t="s">
        <v>38</v>
      </c>
      <c r="G7" s="14" t="n">
        <f aca="false">VLOOKUP(F7,'Certification Costs'!$A:$D,3,FALSE())</f>
        <v>425</v>
      </c>
      <c r="H7" s="14" t="n">
        <f aca="false">VLOOKUP(F7,'Certification Costs'!$A:$D,4,FALSE())</f>
        <v>900</v>
      </c>
    </row>
    <row r="8" customFormat="false" ht="22.35" hidden="false" customHeight="false" outlineLevel="0" collapsed="false">
      <c r="A8" s="8" t="s">
        <v>138</v>
      </c>
      <c r="B8" s="12" t="s">
        <v>169</v>
      </c>
      <c r="C8" s="15" t="n">
        <f aca="false">COUNTIF('Role–Cert Detail'!$A:$A,A8)</f>
        <v>5</v>
      </c>
      <c r="D8" s="16" t="n">
        <f aca="false">SUMIF('Role–Cert Detail'!$A:$A,A8,'Role–Cert Detail'!$C:$C)</f>
        <v>3338</v>
      </c>
      <c r="E8" s="16" t="n">
        <f aca="false">SUMIF('Role–Cert Detail'!$A:$A,A8,'Role–Cert Detail'!$D:$D)</f>
        <v>11539</v>
      </c>
      <c r="F8" s="9" t="s">
        <v>79</v>
      </c>
      <c r="G8" s="14" t="n">
        <f aca="false">VLOOKUP(F8,'Certification Costs'!$A:$D,3,FALSE())</f>
        <v>445</v>
      </c>
      <c r="H8" s="14" t="n">
        <f aca="false">VLOOKUP(F8,'Certification Costs'!$A:$D,4,FALSE())</f>
        <v>645</v>
      </c>
    </row>
    <row r="9" customFormat="false" ht="15" hidden="false" customHeight="false" outlineLevel="0" collapsed="false">
      <c r="A9" s="8" t="s">
        <v>139</v>
      </c>
      <c r="B9" s="12" t="s">
        <v>170</v>
      </c>
      <c r="C9" s="15" t="n">
        <f aca="false">COUNTIF('Role–Cert Detail'!$A:$A,A9)</f>
        <v>4</v>
      </c>
      <c r="D9" s="16" t="n">
        <f aca="false">SUMIF('Role–Cert Detail'!$A:$A,A9,'Role–Cert Detail'!$C:$C)</f>
        <v>3133</v>
      </c>
      <c r="E9" s="16" t="n">
        <f aca="false">SUMIF('Role–Cert Detail'!$A:$A,A9,'Role–Cert Detail'!$D:$D)</f>
        <v>8200</v>
      </c>
      <c r="F9" s="9" t="s">
        <v>28</v>
      </c>
      <c r="G9" s="14" t="n">
        <f aca="false">VLOOKUP(F9,'Certification Costs'!$A:$D,3,FALSE())</f>
        <v>749</v>
      </c>
      <c r="H9" s="14" t="n">
        <f aca="false">VLOOKUP(F9,'Certification Costs'!$A:$D,4,FALSE())</f>
        <v>2500</v>
      </c>
    </row>
    <row r="10" customFormat="false" ht="15" hidden="false" customHeight="false" outlineLevel="0" collapsed="false">
      <c r="A10" s="8" t="s">
        <v>140</v>
      </c>
      <c r="B10" s="12" t="s">
        <v>171</v>
      </c>
      <c r="C10" s="15" t="n">
        <f aca="false">COUNTIF('Role–Cert Detail'!$A:$A,A10)</f>
        <v>3</v>
      </c>
      <c r="D10" s="16" t="n">
        <f aca="false">SUMIF('Role–Cert Detail'!$A:$A,A10,'Role–Cert Detail'!$C:$C)</f>
        <v>2373</v>
      </c>
      <c r="E10" s="16" t="n">
        <f aca="false">SUMIF('Role–Cert Detail'!$A:$A,A10,'Role–Cert Detail'!$D:$D)</f>
        <v>6400</v>
      </c>
      <c r="F10" s="9" t="s">
        <v>38</v>
      </c>
      <c r="G10" s="14" t="n">
        <f aca="false">VLOOKUP(F10,'Certification Costs'!$A:$D,3,FALSE())</f>
        <v>425</v>
      </c>
      <c r="H10" s="14" t="n">
        <f aca="false">VLOOKUP(F10,'Certification Costs'!$A:$D,4,FALSE())</f>
        <v>900</v>
      </c>
    </row>
    <row r="11" customFormat="false" ht="15" hidden="false" customHeight="false" outlineLevel="0" collapsed="false">
      <c r="A11" s="8" t="s">
        <v>141</v>
      </c>
      <c r="B11" s="12" t="s">
        <v>172</v>
      </c>
      <c r="C11" s="15" t="n">
        <f aca="false">COUNTIF('Role–Cert Detail'!$A:$A,A11)</f>
        <v>4</v>
      </c>
      <c r="D11" s="16" t="n">
        <f aca="false">SUMIF('Role–Cert Detail'!$A:$A,A11,'Role–Cert Detail'!$C:$C)</f>
        <v>3823</v>
      </c>
      <c r="E11" s="16" t="n">
        <f aca="false">SUMIF('Role–Cert Detail'!$A:$A,A11,'Role–Cert Detail'!$D:$D)</f>
        <v>6649</v>
      </c>
      <c r="F11" s="9" t="s">
        <v>73</v>
      </c>
      <c r="G11" s="14" t="n">
        <f aca="false">VLOOKUP(F11,'Certification Costs'!$A:$D,3,FALSE())</f>
        <v>1699</v>
      </c>
      <c r="H11" s="14" t="n">
        <f aca="false">VLOOKUP(F11,'Certification Costs'!$A:$D,4,FALSE())</f>
        <v>1749</v>
      </c>
    </row>
    <row r="12" customFormat="false" ht="15" hidden="false" customHeight="false" outlineLevel="0" collapsed="false">
      <c r="A12" s="8" t="s">
        <v>142</v>
      </c>
      <c r="B12" s="12" t="s">
        <v>173</v>
      </c>
      <c r="C12" s="15" t="n">
        <f aca="false">COUNTIF('Role–Cert Detail'!$A:$A,A12)</f>
        <v>4</v>
      </c>
      <c r="D12" s="16" t="n">
        <f aca="false">SUMIF('Role–Cert Detail'!$A:$A,A12,'Role–Cert Detail'!$C:$C)</f>
        <v>2958</v>
      </c>
      <c r="E12" s="16" t="n">
        <f aca="false">SUMIF('Role–Cert Detail'!$A:$A,A12,'Role–Cert Detail'!$D:$D)</f>
        <v>14800</v>
      </c>
      <c r="F12" s="9" t="s">
        <v>28</v>
      </c>
      <c r="G12" s="14" t="n">
        <f aca="false">VLOOKUP(F12,'Certification Costs'!$A:$D,3,FALSE())</f>
        <v>749</v>
      </c>
      <c r="H12" s="14" t="n">
        <f aca="false">VLOOKUP(F12,'Certification Costs'!$A:$D,4,FALSE())</f>
        <v>2500</v>
      </c>
    </row>
    <row r="13" customFormat="false" ht="22.35" hidden="false" customHeight="false" outlineLevel="0" collapsed="false">
      <c r="A13" s="8" t="s">
        <v>143</v>
      </c>
      <c r="B13" s="12" t="s">
        <v>174</v>
      </c>
      <c r="C13" s="15" t="n">
        <f aca="false">COUNTIF('Role–Cert Detail'!$A:$A,A13)</f>
        <v>7</v>
      </c>
      <c r="D13" s="16" t="n">
        <f aca="false">SUMIF('Role–Cert Detail'!$A:$A,A13,'Role–Cert Detail'!$C:$C)</f>
        <v>4911</v>
      </c>
      <c r="E13" s="16" t="n">
        <f aca="false">SUMIF('Role–Cert Detail'!$A:$A,A13,'Role–Cert Detail'!$D:$D)</f>
        <v>25900</v>
      </c>
      <c r="F13" s="9" t="s">
        <v>43</v>
      </c>
      <c r="G13" s="14" t="n">
        <f aca="false">VLOOKUP(F13,'Certification Costs'!$A:$D,3,FALSE())</f>
        <v>425</v>
      </c>
      <c r="H13" s="14" t="n">
        <f aca="false">VLOOKUP(F13,'Certification Costs'!$A:$D,4,FALSE())</f>
        <v>900</v>
      </c>
    </row>
    <row r="14" customFormat="false" ht="15" hidden="false" customHeight="false" outlineLevel="0" collapsed="false">
      <c r="A14" s="8" t="s">
        <v>144</v>
      </c>
      <c r="B14" s="12" t="s">
        <v>175</v>
      </c>
      <c r="C14" s="15" t="n">
        <f aca="false">COUNTIF('Role–Cert Detail'!$A:$A,A14)</f>
        <v>5</v>
      </c>
      <c r="D14" s="16" t="n">
        <f aca="false">SUMIF('Role–Cert Detail'!$A:$A,A14,'Role–Cert Detail'!$C:$C)</f>
        <v>3957</v>
      </c>
      <c r="E14" s="16" t="n">
        <f aca="false">SUMIF('Role–Cert Detail'!$A:$A,A14,'Role–Cert Detail'!$D:$D)</f>
        <v>24300</v>
      </c>
      <c r="F14" s="9" t="s">
        <v>55</v>
      </c>
      <c r="G14" s="14" t="n">
        <f aca="false">VLOOKUP(F14,'Certification Costs'!$A:$D,3,FALSE())</f>
        <v>450</v>
      </c>
      <c r="H14" s="14" t="n">
        <f aca="false">VLOOKUP(F14,'Certification Costs'!$A:$D,4,FALSE())</f>
        <v>2000</v>
      </c>
    </row>
    <row r="15" customFormat="false" ht="15" hidden="false" customHeight="false" outlineLevel="0" collapsed="false">
      <c r="A15" s="8" t="s">
        <v>145</v>
      </c>
      <c r="B15" s="12" t="s">
        <v>176</v>
      </c>
      <c r="C15" s="15" t="n">
        <f aca="false">COUNTIF('Role–Cert Detail'!$A:$A,A15)</f>
        <v>4</v>
      </c>
      <c r="D15" s="16" t="n">
        <f aca="false">SUMIF('Role–Cert Detail'!$A:$A,A15,'Role–Cert Detail'!$C:$C)</f>
        <v>3372</v>
      </c>
      <c r="E15" s="16" t="n">
        <f aca="false">SUMIF('Role–Cert Detail'!$A:$A,A15,'Role–Cert Detail'!$D:$D)</f>
        <v>15400</v>
      </c>
      <c r="F15" s="9" t="s">
        <v>38</v>
      </c>
      <c r="G15" s="14" t="n">
        <f aca="false">VLOOKUP(F15,'Certification Costs'!$A:$D,3,FALSE())</f>
        <v>425</v>
      </c>
      <c r="H15" s="14" t="n">
        <f aca="false">VLOOKUP(F15,'Certification Costs'!$A:$D,4,FALSE())</f>
        <v>900</v>
      </c>
    </row>
    <row r="16" customFormat="false" ht="15" hidden="false" customHeight="false" outlineLevel="0" collapsed="false">
      <c r="A16" s="8" t="s">
        <v>146</v>
      </c>
      <c r="B16" s="12" t="s">
        <v>177</v>
      </c>
      <c r="C16" s="15" t="n">
        <f aca="false">COUNTIF('Role–Cert Detail'!$A:$A,A16)</f>
        <v>2</v>
      </c>
      <c r="D16" s="16" t="n">
        <f aca="false">SUMIF('Role–Cert Detail'!$A:$A,A16,'Role–Cert Detail'!$C:$C)</f>
        <v>725</v>
      </c>
      <c r="E16" s="16" t="n">
        <f aca="false">SUMIF('Role–Cert Detail'!$A:$A,A16,'Role–Cert Detail'!$D:$D)</f>
        <v>1700</v>
      </c>
      <c r="F16" s="9" t="s">
        <v>76</v>
      </c>
      <c r="G16" s="14" t="n">
        <f aca="false">VLOOKUP(F16,'Certification Costs'!$A:$D,3,FALSE())</f>
        <v>300</v>
      </c>
      <c r="H16" s="14" t="n">
        <f aca="false">VLOOKUP(F16,'Certification Costs'!$A:$D,4,FALSE())</f>
        <v>800</v>
      </c>
    </row>
    <row r="17" customFormat="false" ht="15" hidden="false" customHeight="false" outlineLevel="0" collapsed="false">
      <c r="A17" s="8" t="s">
        <v>147</v>
      </c>
      <c r="B17" s="12" t="s">
        <v>178</v>
      </c>
      <c r="C17" s="15" t="n">
        <f aca="false">COUNTIF('Role–Cert Detail'!$A:$A,A17)</f>
        <v>3</v>
      </c>
      <c r="D17" s="16" t="n">
        <f aca="false">SUMIF('Role–Cert Detail'!$A:$A,A17,'Role–Cert Detail'!$C:$C)</f>
        <v>1423</v>
      </c>
      <c r="E17" s="16" t="n">
        <f aca="false">SUMIF('Role–Cert Detail'!$A:$A,A17,'Role–Cert Detail'!$D:$D)</f>
        <v>4300</v>
      </c>
      <c r="F17" s="9" t="s">
        <v>38</v>
      </c>
      <c r="G17" s="14" t="n">
        <f aca="false">VLOOKUP(F17,'Certification Costs'!$A:$D,3,FALSE())</f>
        <v>425</v>
      </c>
      <c r="H17" s="14" t="n">
        <f aca="false">VLOOKUP(F17,'Certification Costs'!$A:$D,4,FALSE())</f>
        <v>900</v>
      </c>
    </row>
    <row r="18" customFormat="false" ht="15" hidden="false" customHeight="false" outlineLevel="0" collapsed="false">
      <c r="A18" s="8" t="s">
        <v>148</v>
      </c>
      <c r="B18" s="12" t="s">
        <v>179</v>
      </c>
      <c r="C18" s="15" t="n">
        <f aca="false">COUNTIF('Role–Cert Detail'!$A:$A,A18)</f>
        <v>3</v>
      </c>
      <c r="D18" s="16" t="n">
        <f aca="false">SUMIF('Role–Cert Detail'!$A:$A,A18,'Role–Cert Detail'!$C:$C)</f>
        <v>1684</v>
      </c>
      <c r="E18" s="16" t="n">
        <f aca="false">SUMIF('Role–Cert Detail'!$A:$A,A18,'Role–Cert Detail'!$D:$D)</f>
        <v>13500</v>
      </c>
      <c r="F18" s="9" t="s">
        <v>71</v>
      </c>
      <c r="G18" s="14" t="n">
        <f aca="false">VLOOKUP(F18,'Certification Costs'!$A:$D,3,FALSE())</f>
        <v>999</v>
      </c>
      <c r="H18" s="14" t="n">
        <f aca="false">VLOOKUP(F18,'Certification Costs'!$A:$D,4,FALSE())</f>
        <v>9000</v>
      </c>
    </row>
    <row r="19" customFormat="false" ht="15" hidden="false" customHeight="false" outlineLevel="0" collapsed="false">
      <c r="A19" s="8" t="s">
        <v>149</v>
      </c>
      <c r="B19" s="12" t="s">
        <v>46</v>
      </c>
      <c r="C19" s="15" t="n">
        <f aca="false">COUNTIF('Role–Cert Detail'!$A:$A,A19)</f>
        <v>1</v>
      </c>
      <c r="D19" s="16" t="n">
        <f aca="false">SUMIF('Role–Cert Detail'!$A:$A,A19,'Role–Cert Detail'!$C:$C)</f>
        <v>599</v>
      </c>
      <c r="E19" s="16" t="n">
        <f aca="false">SUMIF('Role–Cert Detail'!$A:$A,A19,'Role–Cert Detail'!$D:$D)</f>
        <v>2000</v>
      </c>
      <c r="F19" s="9" t="s">
        <v>46</v>
      </c>
      <c r="G19" s="14" t="n">
        <f aca="false">VLOOKUP(F19,'Certification Costs'!$A:$D,3,FALSE())</f>
        <v>599</v>
      </c>
      <c r="H19" s="14" t="n">
        <f aca="false">VLOOKUP(F19,'Certification Costs'!$A:$D,4,FALSE())</f>
        <v>2000</v>
      </c>
    </row>
    <row r="20" customFormat="false" ht="15" hidden="false" customHeight="false" outlineLevel="0" collapsed="false">
      <c r="A20" s="8" t="s">
        <v>150</v>
      </c>
      <c r="B20" s="12" t="s">
        <v>180</v>
      </c>
      <c r="C20" s="15" t="n">
        <f aca="false">COUNTIF('Role–Cert Detail'!$A:$A,A20)</f>
        <v>4</v>
      </c>
      <c r="D20" s="16" t="n">
        <f aca="false">SUMIF('Role–Cert Detail'!$A:$A,A20,'Role–Cert Detail'!$C:$C)</f>
        <v>2449</v>
      </c>
      <c r="E20" s="16" t="n">
        <f aca="false">SUMIF('Role–Cert Detail'!$A:$A,A20,'Role–Cert Detail'!$D:$D)</f>
        <v>17000</v>
      </c>
      <c r="F20" s="9" t="s">
        <v>72</v>
      </c>
      <c r="G20" s="14" t="n">
        <f aca="false">VLOOKUP(F20,'Certification Costs'!$A:$D,3,FALSE())</f>
        <v>999</v>
      </c>
      <c r="H20" s="14" t="n">
        <f aca="false">VLOOKUP(F20,'Certification Costs'!$A:$D,4,FALSE())</f>
        <v>9000</v>
      </c>
    </row>
    <row r="21" customFormat="false" ht="15" hidden="false" customHeight="false" outlineLevel="0" collapsed="false">
      <c r="A21" s="8" t="s">
        <v>151</v>
      </c>
      <c r="B21" s="12" t="s">
        <v>181</v>
      </c>
      <c r="C21" s="15" t="n">
        <f aca="false">COUNTIF('Role–Cert Detail'!$A:$A,A21)</f>
        <v>4</v>
      </c>
      <c r="D21" s="16" t="n">
        <f aca="false">SUMIF('Role–Cert Detail'!$A:$A,A21,'Role–Cert Detail'!$C:$C)</f>
        <v>2859</v>
      </c>
      <c r="E21" s="16" t="n">
        <f aca="false">SUMIF('Role–Cert Detail'!$A:$A,A21,'Role–Cert Detail'!$D:$D)</f>
        <v>6400</v>
      </c>
      <c r="F21" s="9" t="s">
        <v>50</v>
      </c>
      <c r="G21" s="14" t="n">
        <f aca="false">VLOOKUP(F21,'Certification Costs'!$A:$D,3,FALSE())</f>
        <v>1199</v>
      </c>
      <c r="H21" s="14" t="n">
        <f aca="false">VLOOKUP(F21,'Certification Costs'!$A:$D,4,FALSE())</f>
        <v>3000</v>
      </c>
    </row>
    <row r="22" customFormat="false" ht="15" hidden="false" customHeight="false" outlineLevel="0" collapsed="false">
      <c r="A22" s="8" t="s">
        <v>152</v>
      </c>
      <c r="B22" s="12" t="s">
        <v>182</v>
      </c>
      <c r="C22" s="15" t="n">
        <f aca="false">COUNTIF('Role–Cert Detail'!$A:$A,A22)</f>
        <v>4</v>
      </c>
      <c r="D22" s="16" t="n">
        <f aca="false">SUMIF('Role–Cert Detail'!$A:$A,A22,'Role–Cert Detail'!$C:$C)</f>
        <v>2650</v>
      </c>
      <c r="E22" s="16" t="n">
        <f aca="false">SUMIF('Role–Cert Detail'!$A:$A,A22,'Role–Cert Detail'!$D:$D)</f>
        <v>5100</v>
      </c>
      <c r="F22" s="9" t="s">
        <v>119</v>
      </c>
      <c r="G22" s="14" t="n">
        <f aca="false">VLOOKUP(F22,'Certification Costs'!$A:$D,3,FALSE())</f>
        <v>550</v>
      </c>
      <c r="H22" s="14" t="n">
        <f aca="false">VLOOKUP(F22,'Certification Costs'!$A:$D,4,FALSE())</f>
        <v>1200</v>
      </c>
    </row>
    <row r="23" customFormat="false" ht="15" hidden="false" customHeight="false" outlineLevel="0" collapsed="false">
      <c r="A23" s="8" t="s">
        <v>153</v>
      </c>
      <c r="B23" s="12" t="s">
        <v>183</v>
      </c>
      <c r="C23" s="15" t="n">
        <f aca="false">COUNTIF('Role–Cert Detail'!$A:$A,A23)</f>
        <v>5</v>
      </c>
      <c r="D23" s="16" t="n">
        <f aca="false">SUMIF('Role–Cert Detail'!$A:$A,A23,'Role–Cert Detail'!$C:$C)</f>
        <v>3650</v>
      </c>
      <c r="E23" s="16" t="n">
        <f aca="false">SUMIF('Role–Cert Detail'!$A:$A,A23,'Role–Cert Detail'!$D:$D)</f>
        <v>6600</v>
      </c>
      <c r="F23" s="9" t="s">
        <v>119</v>
      </c>
      <c r="G23" s="14" t="n">
        <f aca="false">VLOOKUP(F23,'Certification Costs'!$A:$D,3,FALSE())</f>
        <v>550</v>
      </c>
      <c r="H23" s="14" t="n">
        <f aca="false">VLOOKUP(F23,'Certification Costs'!$A:$D,4,FALSE())</f>
        <v>1200</v>
      </c>
    </row>
    <row r="24" customFormat="false" ht="15" hidden="false" customHeight="false" outlineLevel="0" collapsed="false">
      <c r="A24" s="8" t="s">
        <v>154</v>
      </c>
      <c r="B24" s="12" t="s">
        <v>183</v>
      </c>
      <c r="C24" s="15" t="n">
        <f aca="false">COUNTIF('Role–Cert Detail'!$A:$A,A24)</f>
        <v>5</v>
      </c>
      <c r="D24" s="16" t="n">
        <f aca="false">SUMIF('Role–Cert Detail'!$A:$A,A24,'Role–Cert Detail'!$C:$C)</f>
        <v>3650</v>
      </c>
      <c r="E24" s="16" t="n">
        <f aca="false">SUMIF('Role–Cert Detail'!$A:$A,A24,'Role–Cert Detail'!$D:$D)</f>
        <v>6600</v>
      </c>
      <c r="F24" s="9" t="s">
        <v>122</v>
      </c>
      <c r="G24" s="14" t="n">
        <f aca="false">VLOOKUP(F24,'Certification Costs'!$A:$D,3,FALSE())</f>
        <v>550</v>
      </c>
      <c r="H24" s="14" t="n">
        <f aca="false">VLOOKUP(F24,'Certification Costs'!$A:$D,4,FALSE())</f>
        <v>1200</v>
      </c>
    </row>
    <row r="25" customFormat="false" ht="15" hidden="false" customHeight="false" outlineLevel="0" collapsed="false">
      <c r="A25" s="8" t="s">
        <v>155</v>
      </c>
      <c r="B25" s="12" t="s">
        <v>183</v>
      </c>
      <c r="C25" s="15" t="n">
        <f aca="false">COUNTIF('Role–Cert Detail'!$A:$A,A25)</f>
        <v>5</v>
      </c>
      <c r="D25" s="16" t="n">
        <f aca="false">SUMIF('Role–Cert Detail'!$A:$A,A25,'Role–Cert Detail'!$C:$C)</f>
        <v>3650</v>
      </c>
      <c r="E25" s="16" t="n">
        <f aca="false">SUMIF('Role–Cert Detail'!$A:$A,A25,'Role–Cert Detail'!$D:$D)</f>
        <v>6600</v>
      </c>
      <c r="F25" s="9" t="s">
        <v>119</v>
      </c>
      <c r="G25" s="14" t="n">
        <f aca="false">VLOOKUP(F25,'Certification Costs'!$A:$D,3,FALSE())</f>
        <v>550</v>
      </c>
      <c r="H25" s="14" t="n">
        <f aca="false">VLOOKUP(F25,'Certification Costs'!$A:$D,4,FALSE())</f>
        <v>1200</v>
      </c>
    </row>
    <row r="26" customFormat="false" ht="15" hidden="false" customHeight="false" outlineLevel="0" collapsed="false">
      <c r="A26" s="17" t="s">
        <v>184</v>
      </c>
      <c r="B26" s="18"/>
      <c r="C26" s="18"/>
      <c r="D26" s="19" t="n">
        <f aca="false">AVERAGE(D2:D25)</f>
        <v>2799.04166666667</v>
      </c>
      <c r="E26" s="19" t="n">
        <f aca="false">AVERAGE(E2:E25)</f>
        <v>10466.1666666667</v>
      </c>
      <c r="F26" s="18"/>
      <c r="G26" s="19" t="n">
        <f aca="false">AVERAGE(G2:G25)</f>
        <v>678.333333333333</v>
      </c>
      <c r="H26" s="19" t="n">
        <f aca="false">AVERAGE(H2:H25)</f>
        <v>2224.75</v>
      </c>
    </row>
    <row r="28" customFormat="false" ht="15" hidden="false" customHeight="false" outlineLevel="0" collapsed="false">
      <c r="A28" s="20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2026-06-20T09:18:04Z</dcterms:created>
  <dc:creator>openpyxl</dc:creator>
  <dc:description/>
  <dc:language>en-US</dc:language>
  <cp:lastModifiedBy/>
  <dcterms:modified xsi:type="dcterms:W3CDTF">2026-06-20T09:18:04Z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